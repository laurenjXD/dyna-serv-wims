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aptop\OneDrive\Documents\Desktop\REA\WR\2026\"/>
    </mc:Choice>
  </mc:AlternateContent>
  <xr:revisionPtr revIDLastSave="0" documentId="13_ncr:1_{F67ABD09-C431-4B67-AE56-A2569EF7C7E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FE-RCY" sheetId="1" r:id="rId1"/>
    <sheet name="DO NOT EDIT" sheetId="2" r:id="rId2"/>
  </sheets>
  <definedNames>
    <definedName name="_xlnm._FilterDatabase" localSheetId="0" hidden="1">'EFE-RCY'!$A$10:$I$27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ybvOVpwrl0Ar/JOfSG76ILYmXYnMu7ocCg8JlLuoSPs="/>
    </ext>
  </extLst>
</workbook>
</file>

<file path=xl/calcChain.xml><?xml version="1.0" encoding="utf-8"?>
<calcChain xmlns="http://schemas.openxmlformats.org/spreadsheetml/2006/main">
  <c r="C14" i="1" l="1"/>
  <c r="D14" i="1" s="1"/>
  <c r="F14" i="1"/>
  <c r="D30" i="1"/>
  <c r="F26" i="1"/>
  <c r="C26" i="1"/>
  <c r="D26" i="1" s="1"/>
  <c r="F25" i="1"/>
  <c r="C25" i="1"/>
  <c r="D25" i="1" s="1"/>
  <c r="F24" i="1"/>
  <c r="C24" i="1"/>
  <c r="D24" i="1" s="1"/>
  <c r="F23" i="1"/>
  <c r="C23" i="1"/>
  <c r="D23" i="1" s="1"/>
  <c r="F18" i="1"/>
  <c r="C18" i="1"/>
  <c r="D18" i="1" s="1"/>
  <c r="F17" i="1"/>
  <c r="C17" i="1"/>
  <c r="D17" i="1" s="1"/>
  <c r="F22" i="1"/>
  <c r="C22" i="1"/>
  <c r="D22" i="1" s="1"/>
  <c r="F16" i="1"/>
  <c r="C16" i="1"/>
  <c r="D16" i="1" s="1"/>
  <c r="F20" i="1"/>
  <c r="C20" i="1"/>
  <c r="D20" i="1" s="1"/>
  <c r="F21" i="1"/>
  <c r="C21" i="1"/>
  <c r="D21" i="1" s="1"/>
  <c r="F15" i="1"/>
  <c r="C15" i="1"/>
  <c r="D15" i="1" s="1"/>
  <c r="F19" i="1"/>
  <c r="C19" i="1"/>
  <c r="D19" i="1" s="1"/>
  <c r="F12" i="1"/>
  <c r="C12" i="1"/>
  <c r="D12" i="1" s="1"/>
  <c r="F13" i="1"/>
  <c r="C13" i="1"/>
  <c r="D13" i="1" s="1"/>
  <c r="F11" i="1"/>
  <c r="C11" i="1"/>
  <c r="D11" i="1" s="1"/>
  <c r="D29" i="1" l="1"/>
</calcChain>
</file>

<file path=xl/sharedStrings.xml><?xml version="1.0" encoding="utf-8"?>
<sst xmlns="http://schemas.openxmlformats.org/spreadsheetml/2006/main" count="650" uniqueCount="594">
  <si>
    <t>DO NOT EDIT THIS SHEET.</t>
  </si>
  <si>
    <t>NO.</t>
  </si>
  <si>
    <t>ITEM CODE</t>
  </si>
  <si>
    <t>DESCRIPTION</t>
  </si>
  <si>
    <t>SPQ</t>
  </si>
  <si>
    <t>1</t>
  </si>
  <si>
    <t>820110R208</t>
  </si>
  <si>
    <t>TUBE ASSY C_ADI-0098-10RT 8L ARROW UP_DS</t>
  </si>
  <si>
    <t>2</t>
  </si>
  <si>
    <t>820110R208M</t>
  </si>
  <si>
    <t>TUBE ASSY M_ADI-0098-10RT 8L ARROW UP_DS</t>
  </si>
  <si>
    <t>WITHDRAWAL REQUEST FORM</t>
  </si>
  <si>
    <t>3</t>
  </si>
  <si>
    <t>820110R209</t>
  </si>
  <si>
    <t>TUBE ASSY C_ADI-0098-10RT 8L ARW DWN_DS</t>
  </si>
  <si>
    <t>4</t>
  </si>
  <si>
    <t>820110R209M</t>
  </si>
  <si>
    <t>TUBE ASSY M_ADI-0098-10RT 8L ARW DWN_DS</t>
  </si>
  <si>
    <t>5</t>
  </si>
  <si>
    <t>820110R218</t>
  </si>
  <si>
    <t>TUBE ASSY C_ADI-0098-10HV 8L ARROW UP_D</t>
  </si>
  <si>
    <t>DELIVERY TO:</t>
  </si>
  <si>
    <t>6</t>
  </si>
  <si>
    <t>820110R218M</t>
  </si>
  <si>
    <t>TUBE ASSY M_ADI-0098-10HV 8L ARROW UP_D</t>
  </si>
  <si>
    <t>UBOT D.R. NO:</t>
  </si>
  <si>
    <t>ANALOG DEVICES GEN. TRIAS INC</t>
  </si>
  <si>
    <t>7</t>
  </si>
  <si>
    <t>820110R219</t>
  </si>
  <si>
    <t>TUBE ASSY C_ADI-0098-10HV 8L ARW DWN_D</t>
  </si>
  <si>
    <t xml:space="preserve">DSGC WR NO: </t>
  </si>
  <si>
    <t>8</t>
  </si>
  <si>
    <t>820110R219M</t>
  </si>
  <si>
    <t>SANDOVAL ST., GATEWAY BUSINESS PARK</t>
  </si>
  <si>
    <t>TUBE ASSY M_ADI-0098-10HV 8L ARW DWN_D</t>
  </si>
  <si>
    <t xml:space="preserve">REQUESTED WITHDRAWAL DATE: </t>
  </si>
  <si>
    <t>9</t>
  </si>
  <si>
    <t>820110R220</t>
  </si>
  <si>
    <t>JAVALERA, GEN. TRIAS, CAVITE</t>
  </si>
  <si>
    <t>TUBE ASSY C_ADI-0098-12HV 8L ARROW UP_D</t>
  </si>
  <si>
    <t>10</t>
  </si>
  <si>
    <t>820110R220M</t>
  </si>
  <si>
    <t>TUBE ASSY M_ADI-0098-12HV 8L ARROW UP_D</t>
  </si>
  <si>
    <t>11</t>
  </si>
  <si>
    <t>820110R221</t>
  </si>
  <si>
    <t>TUBE ASSY C_ADI-0098-12HV 8L ARW DWN_D</t>
  </si>
  <si>
    <t>ITEM NO.</t>
  </si>
  <si>
    <t>12</t>
  </si>
  <si>
    <t>QTY</t>
  </si>
  <si>
    <t>820110R221M</t>
  </si>
  <si>
    <t>TUBE ASSY M_ADI-0098-12HV 8L ARW DWN_D</t>
  </si>
  <si>
    <t>NO. OF BOXES</t>
  </si>
  <si>
    <t>CUST PN</t>
  </si>
  <si>
    <t>13</t>
  </si>
  <si>
    <t>820110R210</t>
  </si>
  <si>
    <t>ITEM DESCRIPTION</t>
  </si>
  <si>
    <t>TUBE ASSY C_ADI-0098-12RT 8L ARROW UP_DS</t>
  </si>
  <si>
    <t>PO NUMBER</t>
  </si>
  <si>
    <t>BUSINESS UNIT</t>
  </si>
  <si>
    <t>EST. DISPATCH TIME</t>
  </si>
  <si>
    <t>14</t>
  </si>
  <si>
    <t>820110R210M</t>
  </si>
  <si>
    <t>TUBE ASSY M_ADI-0098-12RT 8L ARROW UP_DS</t>
  </si>
  <si>
    <t>15</t>
  </si>
  <si>
    <t>820110R211</t>
  </si>
  <si>
    <t>TUBE ASSY C_ADI-0098-12RT 8L ARW DWN_DS</t>
  </si>
  <si>
    <t>16</t>
  </si>
  <si>
    <t>820110R211M</t>
  </si>
  <si>
    <t>TUBE ASSY M_ADI-0098-12RT 8L ARW DWN_DS</t>
  </si>
  <si>
    <t>17</t>
  </si>
  <si>
    <t>82011RM116</t>
  </si>
  <si>
    <t xml:space="preserve">TUBE ASSY C_ADI-0098-22RT MSOP UP_DS </t>
  </si>
  <si>
    <t>18</t>
  </si>
  <si>
    <t>82011RM116M</t>
  </si>
  <si>
    <t xml:space="preserve">TUBE ASSY M_ADI-0098-22RT MSOP UP_DS </t>
  </si>
  <si>
    <t>19</t>
  </si>
  <si>
    <t>82011RM117</t>
  </si>
  <si>
    <t>TUBE ASSY C_ADI-0098-22RT MSOP DWN_DS</t>
  </si>
  <si>
    <t>20</t>
  </si>
  <si>
    <t>82011RM117M</t>
  </si>
  <si>
    <t>TUBE ASSY M_ADI-0098-22RT MSOP DWN_DS</t>
  </si>
  <si>
    <t>21</t>
  </si>
  <si>
    <t>82011RU304</t>
  </si>
  <si>
    <t>TUBE ASSY C_ADI-0098-23RT 14-16 ARWUP_D</t>
  </si>
  <si>
    <t>22</t>
  </si>
  <si>
    <t>82011RU304M</t>
  </si>
  <si>
    <t>TUBE ASSY M_ADI-0098-23RT 14-16 ARWUP_D</t>
  </si>
  <si>
    <t>23</t>
  </si>
  <si>
    <t>RCY</t>
  </si>
  <si>
    <t>82011RU305</t>
  </si>
  <si>
    <t>TUBE ASSY C_ADI-0098-23RT 14-16 ARWDN_D</t>
  </si>
  <si>
    <t>24</t>
  </si>
  <si>
    <t>82011RU305M</t>
  </si>
  <si>
    <t>TUBE ASSY M_ADI-0098-23RT 14-16 ARWDN_D</t>
  </si>
  <si>
    <t>25</t>
  </si>
  <si>
    <t>82011RS219</t>
  </si>
  <si>
    <t>TUBE ASSY C_ADI-0098-24RT 5.3MM SSOP UP_D</t>
  </si>
  <si>
    <t>26</t>
  </si>
  <si>
    <t>82011RS219M</t>
  </si>
  <si>
    <t>TUBE ASSY M_ADI-0098-24RT 5.3MM SSOP UP_D</t>
  </si>
  <si>
    <t>27</t>
  </si>
  <si>
    <t>82011RS220</t>
  </si>
  <si>
    <t>TUBE ASSY C_ADI-0098-24RT 5.3MM SSOP DW_D</t>
  </si>
  <si>
    <t>28</t>
  </si>
  <si>
    <t>82011RS220M</t>
  </si>
  <si>
    <t>TUBE ASSY M_ADI-0098-24RT 5.3MM SSOP DW_D</t>
  </si>
  <si>
    <t>29</t>
  </si>
  <si>
    <t>82011CP295</t>
  </si>
  <si>
    <t>TUBE ASSY C_ADI-0098-31RT 4X4X1.45 CSP UP_D</t>
  </si>
  <si>
    <t>30</t>
  </si>
  <si>
    <t>82011CP295M</t>
  </si>
  <si>
    <t>TUBE ASSY M_ADI-0098-31RT 4X4X1.45 CSP UP_D</t>
  </si>
  <si>
    <t>31</t>
  </si>
  <si>
    <t>82011CP296</t>
  </si>
  <si>
    <t>TUBE ASSY C_ADI-0098-31RT 4X4X1.45 CSP DW_D</t>
  </si>
  <si>
    <t>32</t>
  </si>
  <si>
    <t>82011CP296M</t>
  </si>
  <si>
    <t>TUBE ASSY M_ADI-0098-31RT 4X4X1.45 CSP DW_D</t>
  </si>
  <si>
    <t>33</t>
  </si>
  <si>
    <t>82011CP281</t>
  </si>
  <si>
    <t>TUBE ASSY C_ADI-0098-32RT 5X5X1.45 UP_D</t>
  </si>
  <si>
    <t>34</t>
  </si>
  <si>
    <t>82011CP281M</t>
  </si>
  <si>
    <t>TUBE ASSY M_ADI-0098-32RT 5X5X1.45 UP_D</t>
  </si>
  <si>
    <t>35</t>
  </si>
  <si>
    <t>82011CP282</t>
  </si>
  <si>
    <t>TUBE ASSY C_ADI-0098-32RT 5X5X1.45 DW_D</t>
  </si>
  <si>
    <t>36</t>
  </si>
  <si>
    <t>82011CP282M</t>
  </si>
  <si>
    <t>TUBE ASSY M_ADI-0098-32RT 5X5X1.45 DW_D</t>
  </si>
  <si>
    <t>37</t>
  </si>
  <si>
    <t>82011RM114</t>
  </si>
  <si>
    <t>TUBE ASSY C_ADI-0098-37RT MSOP UP_DS</t>
  </si>
  <si>
    <t>38</t>
  </si>
  <si>
    <t>82011RM114M</t>
  </si>
  <si>
    <t>TUBE ASSY M_ADI-0098-37RT MSOP UP_DS</t>
  </si>
  <si>
    <t>39</t>
  </si>
  <si>
    <t>82011RM115</t>
  </si>
  <si>
    <t>TUBE ASSY C_ADI-0098-37RT MSOP DWN_DS</t>
  </si>
  <si>
    <t>40</t>
  </si>
  <si>
    <t>82011RM115M</t>
  </si>
  <si>
    <t>TUBE ASSY M_ADI-0098-37RT MSOP DWN_DS</t>
  </si>
  <si>
    <t>41</t>
  </si>
  <si>
    <t>82011RM112</t>
  </si>
  <si>
    <t>TUBE ASSY C_LT-001RT MSOP UP LTC_D</t>
  </si>
  <si>
    <t>42</t>
  </si>
  <si>
    <t>82011RM112M</t>
  </si>
  <si>
    <t>TUBE ASSY M_LT-001RT MSOP UP LTC_D</t>
  </si>
  <si>
    <t>43</t>
  </si>
  <si>
    <t>82011RM113</t>
  </si>
  <si>
    <t>TUBE ASSY C_LT-001RT MSOP DWN LTC_D</t>
  </si>
  <si>
    <t>44</t>
  </si>
  <si>
    <t>82011RM113M</t>
  </si>
  <si>
    <t>TUBE ASSY M_LT-001RT MSOP DWN LTC_D</t>
  </si>
  <si>
    <t>45</t>
  </si>
  <si>
    <t>82011RM120</t>
  </si>
  <si>
    <t>TUBE ASSY C_LT-001RT MSOP NOPLUG_D</t>
  </si>
  <si>
    <t>46</t>
  </si>
  <si>
    <t>82011RM120M</t>
  </si>
  <si>
    <t>TUBE ASSY M_LT-001RT MSOP NOPLUG_D</t>
  </si>
  <si>
    <t>47</t>
  </si>
  <si>
    <t>820110R212</t>
  </si>
  <si>
    <t>TUBE ASSY C_LT-002RT SOIC/QSOP UP LTC_D</t>
  </si>
  <si>
    <t>48</t>
  </si>
  <si>
    <t>820110R212M</t>
  </si>
  <si>
    <t>TUBE ASSY M_LT-002RT SOIC/QSOP UP LTC_D</t>
  </si>
  <si>
    <t>49</t>
  </si>
  <si>
    <t>820110R213</t>
  </si>
  <si>
    <t>TUBE ASSY C_LT-002RT SOIC/QSOP DWN LTC_D</t>
  </si>
  <si>
    <t>50</t>
  </si>
  <si>
    <t>820110R213M</t>
  </si>
  <si>
    <t>TUBE ASSY M_LT-002RT SOIC/QSOP DWN LTC_D</t>
  </si>
  <si>
    <t>51</t>
  </si>
  <si>
    <t>820110R237</t>
  </si>
  <si>
    <t>TUBE ASSY C_LT-002RT SOIC/QSOP NO PLUG_D</t>
  </si>
  <si>
    <t>52</t>
  </si>
  <si>
    <t>820110R237M</t>
  </si>
  <si>
    <t>TUBE ASSY M_LT-002RT SOIC/QSOP NO PLUG_D</t>
  </si>
  <si>
    <t>53</t>
  </si>
  <si>
    <t>820110R214</t>
  </si>
  <si>
    <t>TUBE ASSY C_LT-003RT SOIC/SSOP UP LTC_D</t>
  </si>
  <si>
    <t>54</t>
  </si>
  <si>
    <t>820110R214M</t>
  </si>
  <si>
    <t>TUBE ASSY M_LT-003RT SOIC/SSOP UP LTC_D</t>
  </si>
  <si>
    <t>55</t>
  </si>
  <si>
    <t>820110R215</t>
  </si>
  <si>
    <t>TUBE ASSY C_LT-003RT SOIC/SSOP DWN LTC_D</t>
  </si>
  <si>
    <t>56</t>
  </si>
  <si>
    <t>820110R215M</t>
  </si>
  <si>
    <t>TUBE ASSY M_LT-003RT SOIC/SSOP DWN LTC_D</t>
  </si>
  <si>
    <t>57</t>
  </si>
  <si>
    <t>82011CP279</t>
  </si>
  <si>
    <t>TUBE ASSY C_LT-004RT 3X3 QFN UP LTC_D</t>
  </si>
  <si>
    <t>58</t>
  </si>
  <si>
    <t>82011CP279M</t>
  </si>
  <si>
    <t>TUBE ASSY M_LT-004RT 3X3 QFN UP LTC_D</t>
  </si>
  <si>
    <t>59</t>
  </si>
  <si>
    <t>82011CP280</t>
  </si>
  <si>
    <t>TUBE ASSY C_LT-004RT 3X3 QFN DWN LTC_D</t>
  </si>
  <si>
    <t>82011RU306M</t>
  </si>
  <si>
    <t>60</t>
  </si>
  <si>
    <t>82011CP280M</t>
  </si>
  <si>
    <t>TUBE ASSY M_LT-004RT 3X3 QFN DWN LTC_D</t>
  </si>
  <si>
    <t>61</t>
  </si>
  <si>
    <t>82011CP297</t>
  </si>
  <si>
    <t>TUBE ASSY C_LT-004RT 3X3QFN NOPLG LTC_D</t>
  </si>
  <si>
    <t>62</t>
  </si>
  <si>
    <t>82011CP297M</t>
  </si>
  <si>
    <t>TUBE ASSY M_LT-004RT 3X3QFN NOPLG LTC_D</t>
  </si>
  <si>
    <t>63</t>
  </si>
  <si>
    <t>82011RU310</t>
  </si>
  <si>
    <t>TUBE ASSY C_LT-005RT TSSOP 4.4 UP LTC_D</t>
  </si>
  <si>
    <t>64</t>
  </si>
  <si>
    <t>82011RU310M</t>
  </si>
  <si>
    <t>TUBE ASSY M_LT-005RT TSSOP 4.4 UP LTC_D</t>
  </si>
  <si>
    <t>65</t>
  </si>
  <si>
    <t>82011RU311</t>
  </si>
  <si>
    <t>TUBE ASSY C_LT-005RT TSSOP 4.4 DWN LTC_D</t>
  </si>
  <si>
    <t>82011RU307M</t>
  </si>
  <si>
    <t>66</t>
  </si>
  <si>
    <t>82011RU311M</t>
  </si>
  <si>
    <t>TUBE ASSY M_LT-005RT TSSOP 4.4 DWN LTC_D</t>
  </si>
  <si>
    <t>67</t>
  </si>
  <si>
    <t>82011RS221</t>
  </si>
  <si>
    <t>TUBE ASSY C_LT-007RT SSOP 5.3 UP LTC_D</t>
  </si>
  <si>
    <t>68</t>
  </si>
  <si>
    <t>82011RS221M</t>
  </si>
  <si>
    <t>TUBE ASSY M_LT-007RT SSOP 5.3 UP LTC_D</t>
  </si>
  <si>
    <t>69</t>
  </si>
  <si>
    <t>82011RS222</t>
  </si>
  <si>
    <t>TUBE ASSY C_LT-007RT SSOP 5.3 DWN LTC_D</t>
  </si>
  <si>
    <t>70</t>
  </si>
  <si>
    <t>82011RS222M</t>
  </si>
  <si>
    <t>TUBE ASSY M_LT-007RT SSOP 5.3 DWN LTC_D</t>
  </si>
  <si>
    <t>72</t>
  </si>
  <si>
    <t>82011RS229M</t>
  </si>
  <si>
    <t>^TUBE ASSY M_LT-007RT SSOP 5.3 NO PLG_D</t>
  </si>
  <si>
    <t>73</t>
  </si>
  <si>
    <t>82011CP283</t>
  </si>
  <si>
    <t>TUBE ASSY C_LT-008RT 4X4 QFN UP LTC_D</t>
  </si>
  <si>
    <t>74</t>
  </si>
  <si>
    <t>82011CP283M</t>
  </si>
  <si>
    <t>TUBE ASSY M_LT-008RT 4X4 QFN UP LTC_D</t>
  </si>
  <si>
    <t>75</t>
  </si>
  <si>
    <t>82011CP284</t>
  </si>
  <si>
    <t>TUBE ASSY C_LT-008RT 4X4 QFN DW LTC_D</t>
  </si>
  <si>
    <t>76</t>
  </si>
  <si>
    <t>82011CP284M</t>
  </si>
  <si>
    <t>TUBE ASSY M_LT-008RT 4X4 QFN DW LTC_D</t>
  </si>
  <si>
    <t>77</t>
  </si>
  <si>
    <t>82011CP298</t>
  </si>
  <si>
    <t>TUBE ASSY C_LT-008RT 4X4QFN NOPLG LTC_D</t>
  </si>
  <si>
    <t>78</t>
  </si>
  <si>
    <t>82011CP298M</t>
  </si>
  <si>
    <t>TUBE ASSY M_LT-008RT 4X4QFN NOPLG LTC_D</t>
  </si>
  <si>
    <t>79</t>
  </si>
  <si>
    <t>82011CP285</t>
  </si>
  <si>
    <t>TUBE ASSY C_LT-009RT 5X5 QFN UP LTC_D</t>
  </si>
  <si>
    <t>80</t>
  </si>
  <si>
    <t>82011CP285M</t>
  </si>
  <si>
    <t>TUBE ASSY M_LT-009RT 5X5 QFN UP LTC_D</t>
  </si>
  <si>
    <t>81</t>
  </si>
  <si>
    <t>82011CP286</t>
  </si>
  <si>
    <t>TUBE ASSY C_LT-009RT 5X5 QFN DW LTC_D</t>
  </si>
  <si>
    <t>82</t>
  </si>
  <si>
    <t>82011CP286M</t>
  </si>
  <si>
    <t>TUBE ASSY M_LT-009RT 5X5 QFN DW LTC_D</t>
  </si>
  <si>
    <t>83</t>
  </si>
  <si>
    <t>82011CP300</t>
  </si>
  <si>
    <t>TUBE ASSY C_LT-009RT 5X5QFN NOPLG LTC_D</t>
  </si>
  <si>
    <t>84</t>
  </si>
  <si>
    <t>82011CP300M</t>
  </si>
  <si>
    <t>TUBE ASSY M_LT-009RT 5X5QFN NOPLG LTC_D</t>
  </si>
  <si>
    <t>85</t>
  </si>
  <si>
    <t>820110N259</t>
  </si>
  <si>
    <t>TUBE ASSY C_LT-010RT PDIP UP LTC_D</t>
  </si>
  <si>
    <t>86</t>
  </si>
  <si>
    <t>820110N259M</t>
  </si>
  <si>
    <t>TUBE ASSY M_LT-010RT PDIP UP LTC_D</t>
  </si>
  <si>
    <t>87</t>
  </si>
  <si>
    <t>820110N260</t>
  </si>
  <si>
    <t>TUBE ASSY C_LT-010RT PDIP DWN LTC_D</t>
  </si>
  <si>
    <t>88</t>
  </si>
  <si>
    <t>820110N260M</t>
  </si>
  <si>
    <t>TUBE ASSY M_LT-010RT PDIP DWN LTC_D</t>
  </si>
  <si>
    <t>89</t>
  </si>
  <si>
    <t>820110N267</t>
  </si>
  <si>
    <t>TUBE ASSY C_LT-010RT PDIP NO PLUG_D</t>
  </si>
  <si>
    <t>90</t>
  </si>
  <si>
    <t>820110N267M</t>
  </si>
  <si>
    <t>TUBE ASSY M_LT-010RT PDIP NO PLUG_D</t>
  </si>
  <si>
    <t>91</t>
  </si>
  <si>
    <t>82011CP287</t>
  </si>
  <si>
    <t>TUBE ASSY C_LT-011RT 6x6 QFN UP LTC_D</t>
  </si>
  <si>
    <t>92</t>
  </si>
  <si>
    <t>82011CP287M</t>
  </si>
  <si>
    <t>TUBE ASSY M_LT-011RT 6X6 QFN UP LTC_D</t>
  </si>
  <si>
    <t>93</t>
  </si>
  <si>
    <t>82011CP288</t>
  </si>
  <si>
    <t>820110R216M</t>
  </si>
  <si>
    <t>TUBE ASSY C_LT-011RT 6X6 QFN DWN LTC_D</t>
  </si>
  <si>
    <t>94</t>
  </si>
  <si>
    <t>82011CP288M</t>
  </si>
  <si>
    <t>TUBE ASSY M_LT-011RT 6X6 QFN DWN LTC_D</t>
  </si>
  <si>
    <t>95</t>
  </si>
  <si>
    <t>82011CP289</t>
  </si>
  <si>
    <t>TUBE ASSY C_LT-012RT 7X7 QFN UP LTC_D</t>
  </si>
  <si>
    <t>96</t>
  </si>
  <si>
    <t>82011CP289M</t>
  </si>
  <si>
    <t>TUBE ASSY M_LT-012RT 7X7 QFN UP LTC_D</t>
  </si>
  <si>
    <t>97</t>
  </si>
  <si>
    <t>82011CP290</t>
  </si>
  <si>
    <t>TUBE ASSY C_LT-012RT 7X7 QFN DWN LTC_D</t>
  </si>
  <si>
    <t>98</t>
  </si>
  <si>
    <t>82011CP290M</t>
  </si>
  <si>
    <t>^TUBE ASSY M_LT-012RT 7X7 QFN DWN LTC_D</t>
  </si>
  <si>
    <t>99</t>
  </si>
  <si>
    <t>82011CP299</t>
  </si>
  <si>
    <t>TUBE ASSY C_LT-012RT 7X7QFN NOPLG LTC_D</t>
  </si>
  <si>
    <t>100</t>
  </si>
  <si>
    <t>82011CP299M</t>
  </si>
  <si>
    <t>820110R217M</t>
  </si>
  <si>
    <t>TUBE ASSY M_LT-012RT 7X7QFN NOPLG LTC_D</t>
  </si>
  <si>
    <t>101</t>
  </si>
  <si>
    <t>82011CP291</t>
  </si>
  <si>
    <t>TUBE ASSY C_LT-013RT 9X9 QFN UP LTC_D</t>
  </si>
  <si>
    <t>102</t>
  </si>
  <si>
    <t>82011CP291M</t>
  </si>
  <si>
    <t>TUBE ASSY M_LT-013RT 9X9 QFN UP LTC_D</t>
  </si>
  <si>
    <t>103</t>
  </si>
  <si>
    <t>82011CP292</t>
  </si>
  <si>
    <t>TUBE ASSY C_LT-013RT 9X9 QFN DWN LTC_D</t>
  </si>
  <si>
    <t>104</t>
  </si>
  <si>
    <t>82011CP292M</t>
  </si>
  <si>
    <t>TUBE ASSY M_LT-013RT 9X9 QFN DWN LTC_D</t>
  </si>
  <si>
    <t>105</t>
  </si>
  <si>
    <t>82011RT005</t>
  </si>
  <si>
    <t>TUBE ASSY C_LT-015RT SOT223 UP_D</t>
  </si>
  <si>
    <t>106</t>
  </si>
  <si>
    <t>82011RT005M</t>
  </si>
  <si>
    <t>TUBE ASSY M_LT-015RT SOT223 UP_D</t>
  </si>
  <si>
    <t>107</t>
  </si>
  <si>
    <t>82011RT006</t>
  </si>
  <si>
    <t>TUBE ASSY C_LT-015RT SOT223 DWN_D</t>
  </si>
  <si>
    <t>108</t>
  </si>
  <si>
    <t>82011RT006M</t>
  </si>
  <si>
    <t>TUBE ASSY M_LT-015RT SOT223 DWN_D</t>
  </si>
  <si>
    <t>109</t>
  </si>
  <si>
    <t>82011RT009</t>
  </si>
  <si>
    <t>TUBE ASSY C_LT-015RT SOT223 NOPLG LTC_D</t>
  </si>
  <si>
    <t>110</t>
  </si>
  <si>
    <t>82011RT009M</t>
  </si>
  <si>
    <t>TUBE ASSY M_LT-015RT SOT223 NOPLG LTC_D</t>
  </si>
  <si>
    <t>111</t>
  </si>
  <si>
    <t>82011VR001</t>
  </si>
  <si>
    <t>TUBE C_ADI-0098-LT-016 BT DDPAK_W LTC NO END PLUG</t>
  </si>
  <si>
    <t>112</t>
  </si>
  <si>
    <t>82011VR001M</t>
  </si>
  <si>
    <t>TUBE M_ADI-0098-LT-016 BT DDPAK_W LTC NO END PLUG</t>
  </si>
  <si>
    <t>113</t>
  </si>
  <si>
    <t>82011VR005</t>
  </si>
  <si>
    <t>TUBE ASSY C_LT-016RT DDPAK UP_D</t>
  </si>
  <si>
    <t>114</t>
  </si>
  <si>
    <t>82011VR005M</t>
  </si>
  <si>
    <t>TUBE ASSY M_LT-016RT DDPAK UP_D</t>
  </si>
  <si>
    <t>115</t>
  </si>
  <si>
    <t>82011VR006</t>
  </si>
  <si>
    <t>TUBE ASSY C_LT-016RT DDPAK DWN_D</t>
  </si>
  <si>
    <t>116</t>
  </si>
  <si>
    <t>82011VR006M</t>
  </si>
  <si>
    <t>TUBE ASSY M_LT-016RT DDPAK DWN_D</t>
  </si>
  <si>
    <t>117</t>
  </si>
  <si>
    <t>82011VR007</t>
  </si>
  <si>
    <t>TUBE ASSY C_LT016RT DDPAK NOPLG LTC_D</t>
  </si>
  <si>
    <t>118</t>
  </si>
  <si>
    <t>82011VR007M</t>
  </si>
  <si>
    <t>TUBE ASSY M_LT016RT DDPAK NOPLG LTC_D</t>
  </si>
  <si>
    <t>119</t>
  </si>
  <si>
    <t>820110P448</t>
  </si>
  <si>
    <t>TUBE ASSY C_ADI-0098-05RT 20L PLCC UP_D</t>
  </si>
  <si>
    <t>120</t>
  </si>
  <si>
    <t>820110P448M</t>
  </si>
  <si>
    <t>TUBE ASSY M_ADI-0098-05RT 20L PLCC UP_D</t>
  </si>
  <si>
    <t>820110R239M</t>
  </si>
  <si>
    <t>121</t>
  </si>
  <si>
    <t>820110P449</t>
  </si>
  <si>
    <t>TUBE ASSY C_ADI-0098-05RT 20L PLCC DWN_D</t>
  </si>
  <si>
    <t>122</t>
  </si>
  <si>
    <t>820110P449M</t>
  </si>
  <si>
    <t>TUBE ASSY M_ADI-0098-05RT 20L PLCC DWN_D</t>
  </si>
  <si>
    <t>123</t>
  </si>
  <si>
    <t>820110P450</t>
  </si>
  <si>
    <t>TUBE ASSY C_ADI-0098-06RT 28L PLCC UP_D</t>
  </si>
  <si>
    <t>124</t>
  </si>
  <si>
    <t>820110P450M</t>
  </si>
  <si>
    <t>TUBE ASSY M_ADI-0098-06RT 28L PLCC UP_D</t>
  </si>
  <si>
    <t>125</t>
  </si>
  <si>
    <t>820110E455</t>
  </si>
  <si>
    <t>TUBE ASSY C_ADI-0098-13RT 20L LCC DWN_D</t>
  </si>
  <si>
    <t>126</t>
  </si>
  <si>
    <t>820110E455M</t>
  </si>
  <si>
    <t>TUBE ASSY M_ADI-0098-13RT 20L LCC DWN_D</t>
  </si>
  <si>
    <t>820110R240M</t>
  </si>
  <si>
    <t>127</t>
  </si>
  <si>
    <t>820110E456</t>
  </si>
  <si>
    <t>TUBE ASSY C_ADI-0098-14RT 28L LCC UP_D</t>
  </si>
  <si>
    <t>128</t>
  </si>
  <si>
    <t>820110E456M</t>
  </si>
  <si>
    <t>TUBE ASSY M_ADI-0098-14RT 28L LCC UP_D</t>
  </si>
  <si>
    <t>129</t>
  </si>
  <si>
    <t>820110E457</t>
  </si>
  <si>
    <t>TUBE ASSY C_ADI-0098-14RT 28L LCC DWN_D</t>
  </si>
  <si>
    <t>130</t>
  </si>
  <si>
    <t>820110E457M</t>
  </si>
  <si>
    <t>TUBE ASSY M_ADI-0098-14RT 28L LCC DWN_D</t>
  </si>
  <si>
    <t>131</t>
  </si>
  <si>
    <t>820110E458</t>
  </si>
  <si>
    <t>TUBE ASSY C_ADI-0098-15RT 44L LCC UP_D</t>
  </si>
  <si>
    <t>132</t>
  </si>
  <si>
    <t>820110E458M</t>
  </si>
  <si>
    <t>TUBE ASSY M_ADI-0098-15RT 44L LCC UP_D</t>
  </si>
  <si>
    <t>133</t>
  </si>
  <si>
    <t>820110E459</t>
  </si>
  <si>
    <t>TUBE ASSY C_ADI-0098-15RT 44L LCC DWN_D</t>
  </si>
  <si>
    <t>134</t>
  </si>
  <si>
    <t>820110E459M</t>
  </si>
  <si>
    <t>TUBE ASSY M_ADI-0098-15RT 44L LCC DWN_D</t>
  </si>
  <si>
    <t>135</t>
  </si>
  <si>
    <t>820110J016</t>
  </si>
  <si>
    <t>TUBE ASSY C_ADI-0098-18RT 28L JLCC DWN_D</t>
  </si>
  <si>
    <t>136</t>
  </si>
  <si>
    <t>820110J016M</t>
  </si>
  <si>
    <t>TUBE ASSY M_ADI-0098-18RT 28L JLCC DWN_D</t>
  </si>
  <si>
    <t>137</t>
  </si>
  <si>
    <t>820110J017</t>
  </si>
  <si>
    <t>TUBE ASSY C_ADI-0098-19RT 44L JLCC UP_D</t>
  </si>
  <si>
    <t>138</t>
  </si>
  <si>
    <t>820110J017M</t>
  </si>
  <si>
    <t>TUBE ASSY M_ADI-0098-19RT 44L JLCC UP_D</t>
  </si>
  <si>
    <t>139</t>
  </si>
  <si>
    <t>820110N257</t>
  </si>
  <si>
    <t>TUBE ASSY C_ADI-0098-34RT 300 PDIP UP_D</t>
  </si>
  <si>
    <t>140</t>
  </si>
  <si>
    <t>820110N257M</t>
  </si>
  <si>
    <t>TUBE ASSY M_ADI-0098-34RT 300 PDIP UP_D</t>
  </si>
  <si>
    <t>141</t>
  </si>
  <si>
    <t>820110N258M</t>
  </si>
  <si>
    <t>TUBE ASSY M_ADI-0098-34RT 300 PDIP DWN_D</t>
  </si>
  <si>
    <t>142</t>
  </si>
  <si>
    <t>820110E460</t>
  </si>
  <si>
    <t>TUBE ASSY C_ADI-0098-21RT LCC/FP UP_D</t>
  </si>
  <si>
    <t>143</t>
  </si>
  <si>
    <t>820110E460M</t>
  </si>
  <si>
    <t>TUBE ASSY M_ADI-0098-21RT LCC/FP UP_D</t>
  </si>
  <si>
    <t>144</t>
  </si>
  <si>
    <t>820110E461</t>
  </si>
  <si>
    <t>TUBE ASSY C_ADI-0098-21RT LCC/FP DWN_D</t>
  </si>
  <si>
    <t>145</t>
  </si>
  <si>
    <t>820110E461M</t>
  </si>
  <si>
    <t>TUBE ASSY M_ADI-0098-21RT LCC/FP DWN_D</t>
  </si>
  <si>
    <t>146</t>
  </si>
  <si>
    <t>820110E462</t>
  </si>
  <si>
    <t>TUBE ASSY C_ADI-0098-36RT 9X9 VMP UP_D</t>
  </si>
  <si>
    <t>147</t>
  </si>
  <si>
    <t>820110E462M</t>
  </si>
  <si>
    <t>TUBE ASSY M_ADI-0098-36RT 9X9 VMP UP_D</t>
  </si>
  <si>
    <t>148</t>
  </si>
  <si>
    <t>820110E463</t>
  </si>
  <si>
    <t>TUBE ASSY C_ADI-0098-36RT 9X9 VMP DWN_D</t>
  </si>
  <si>
    <t>149</t>
  </si>
  <si>
    <t>820110E463M</t>
  </si>
  <si>
    <t>TUBE ASSY M_ADI-0098-36RT 9X9 VMP DWN_D</t>
  </si>
  <si>
    <t>150</t>
  </si>
  <si>
    <t>820110J015</t>
  </si>
  <si>
    <t>TUBE ASSY C_ADI-0098-18RT 28L JLCC UP_D</t>
  </si>
  <si>
    <t>151</t>
  </si>
  <si>
    <t>820110J015M</t>
  </si>
  <si>
    <t>TUBE ASSY M_ADI-0098-18RT 28L JLCC UP_D</t>
  </si>
  <si>
    <t>152</t>
  </si>
  <si>
    <t>820110D342</t>
  </si>
  <si>
    <t>TUBE ASSY C_ADI-0098-01RT 300MIL SB UP_D</t>
  </si>
  <si>
    <t>153</t>
  </si>
  <si>
    <t>820110D342M</t>
  </si>
  <si>
    <t>TUBE ASSY M_ADI-0098-01RT 300MIL SB UP_D</t>
  </si>
  <si>
    <t>154</t>
  </si>
  <si>
    <t>820110D343</t>
  </si>
  <si>
    <t>TUBE ASSY C_ADI-0098-01RT 300MIL SB DWN_D</t>
  </si>
  <si>
    <t>155</t>
  </si>
  <si>
    <t>820110D343M</t>
  </si>
  <si>
    <t>TUBE ASSY M_ADI-0098-01RT 300MIL SB DWN_D</t>
  </si>
  <si>
    <t>156</t>
  </si>
  <si>
    <t>820110D344</t>
  </si>
  <si>
    <t>TUBE ASSY C_ADI-0098-03RT 600MIL SB UP_D</t>
  </si>
  <si>
    <t>157</t>
  </si>
  <si>
    <t>820110D344M</t>
  </si>
  <si>
    <t>TUBE ASSY M_ADI-0098-03RT 600MIL SB UP_D</t>
  </si>
  <si>
    <t>158</t>
  </si>
  <si>
    <t>820110D345</t>
  </si>
  <si>
    <t>TUBE ASSY C_ADI-0098-03RT 600MIL SB DWN_D</t>
  </si>
  <si>
    <t>159</t>
  </si>
  <si>
    <t>820110D345M</t>
  </si>
  <si>
    <t>TUBE ASSY M_ADI-0098-03RT 600MIL SB DWN_D</t>
  </si>
  <si>
    <t>160</t>
  </si>
  <si>
    <t>820110E454</t>
  </si>
  <si>
    <t>TUBE ASSY C_ADI-0098-13RT 20L LCC UP_D</t>
  </si>
  <si>
    <t>161</t>
  </si>
  <si>
    <t>820110E454M</t>
  </si>
  <si>
    <t>TUBE ASSY M_ADI-0098-13RT 20L LCC UP_D</t>
  </si>
  <si>
    <t>162</t>
  </si>
  <si>
    <t>820110N258</t>
  </si>
  <si>
    <t>TUBE ASSY C_ADI-0098-34RT 300PDIP DWN_D</t>
  </si>
  <si>
    <t>163</t>
  </si>
  <si>
    <t>82011RU306</t>
  </si>
  <si>
    <t>TUBE ASSY C_ADI-0098-27RT 8L ARROWUP_DS</t>
  </si>
  <si>
    <t>164</t>
  </si>
  <si>
    <t>TUBE ASSY M_ADI-0098-27RT 8L ARROWUP_DS</t>
  </si>
  <si>
    <t>165</t>
  </si>
  <si>
    <t>82011RU307</t>
  </si>
  <si>
    <t>TUBE ASSY C_ADI-0098-27RT 8L ARRWDWN_DS</t>
  </si>
  <si>
    <t>166</t>
  </si>
  <si>
    <t>TUBE ASSY M_ADI-0098-27RT 8L ARRDWN_DS</t>
  </si>
  <si>
    <t>167</t>
  </si>
  <si>
    <t>82011RU308</t>
  </si>
  <si>
    <t>TUBE ASSY C_ADI-0098-29RT 28-48 ARWUP_D</t>
  </si>
  <si>
    <t>168</t>
  </si>
  <si>
    <t>82011RU308M</t>
  </si>
  <si>
    <t>TUBE ASSY M_ADI-0098-29RT 28-48 ARWUP_D</t>
  </si>
  <si>
    <t>169</t>
  </si>
  <si>
    <t>82011RU309</t>
  </si>
  <si>
    <t>TUBE ASSY C_ADI-0098-29RT 28-48 ARWDN_D</t>
  </si>
  <si>
    <t>170</t>
  </si>
  <si>
    <t>82011RU309M</t>
  </si>
  <si>
    <t>TUBE ASSY M_ADI-0098-29RT 28-48 ARWDN_D</t>
  </si>
  <si>
    <t>171</t>
  </si>
  <si>
    <t>8020405002T</t>
  </si>
  <si>
    <t>Black Box Cleaning- 375mmX178mmX82mm</t>
  </si>
  <si>
    <t>172</t>
  </si>
  <si>
    <t>TUBE ASSY M_ADI-0098-35RT SOIC CAV UP_D</t>
  </si>
  <si>
    <t>174</t>
  </si>
  <si>
    <t>TUBE ASSY M_ADI-0098-35RTSOIC CAV DWN_D</t>
  </si>
  <si>
    <t>175</t>
  </si>
  <si>
    <t>820110R217</t>
  </si>
  <si>
    <t>TUBE ASSY C_ADI-0098-35RTSOIC CAV DWN_D</t>
  </si>
  <si>
    <t>176</t>
  </si>
  <si>
    <t>82011HC012M</t>
  </si>
  <si>
    <t>TUBE ASSY M_LT-017RT TO-220 DWN_D</t>
  </si>
  <si>
    <t>177</t>
  </si>
  <si>
    <t>TUBE ASSY M_ADI-0098-41 RT ARROWUP_DS</t>
  </si>
  <si>
    <t>179</t>
  </si>
  <si>
    <t>820110R239</t>
  </si>
  <si>
    <t>TUBE ASSY C_ADI-0098-41 RT ARROWUP_DS</t>
  </si>
  <si>
    <t>178</t>
  </si>
  <si>
    <t>TUBE ASSY M_ADI-0098-41 RT ARROW DOWN_D</t>
  </si>
  <si>
    <t>180</t>
  </si>
  <si>
    <t>820110R240</t>
  </si>
  <si>
    <t>TUBE ASSY C_ADI-0098-41 RT ARROW DOWN_D</t>
  </si>
  <si>
    <t>181</t>
  </si>
  <si>
    <t>82011RU325M</t>
  </si>
  <si>
    <t>TUBE ASSY M_LT-005RT TSSOP4.4 NOPLG_D</t>
  </si>
  <si>
    <t>182</t>
  </si>
  <si>
    <t>82011RU325</t>
  </si>
  <si>
    <t>TUBE ASSY C_LT-005RT TSSOP4.4 NOPLG_D</t>
  </si>
  <si>
    <t>183</t>
  </si>
  <si>
    <t>82011RS229</t>
  </si>
  <si>
    <t>TUBE ASSY C_LT-007RT SSOP 5.3 NO PLG_D</t>
  </si>
  <si>
    <t>184</t>
  </si>
  <si>
    <t>820110R216</t>
  </si>
  <si>
    <t>TUBE ASSY C_ADI-0098-35RT SOIC CAV UP_D</t>
  </si>
  <si>
    <t>185</t>
  </si>
  <si>
    <t>82011CP324M</t>
  </si>
  <si>
    <t>^TUBE ASSY M_LT-013RT 7X7 NOPLUG LTC_D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</si>
  <si>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</si>
  <si>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</si>
  <si>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</si>
  <si>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</si>
  <si>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</si>
  <si>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</si>
  <si>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</si>
  <si>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</si>
  <si>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</si>
  <si>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</si>
  <si>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</si>
  <si>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</si>
  <si>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</si>
  <si>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</si>
  <si>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</si>
  <si>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N/F</t>
  </si>
  <si>
    <t>Total QTY</t>
  </si>
  <si>
    <t>DELIVERY INSTRUCTIONS/REMARKS:</t>
  </si>
  <si>
    <t>R.Portes</t>
  </si>
  <si>
    <t>CSR</t>
  </si>
  <si>
    <t>PRO-CS-068 Form A. Rev. 01</t>
  </si>
  <si>
    <t>EFF. DATE: 08 JAN. 2024</t>
  </si>
  <si>
    <t>WRF-RCY-260341_ADGT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</si>
</sst>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$-409]* #,##0.00_ ;_-[$$-409]* \-#,##0.00\ ;_-[$$-409]* &quot;-&quot;??_ ;_-@_ "/>
    <numFmt numFmtId="165" formatCode="#,##0.0"/>
    <numFmt numFmtId="166" formatCode="_(#,##0_);[Red]\(#,##0\)"/>
  </numFmts>
  <fonts count="18" x14ac:knownFonts="1">
    <font>
      <sz val="11"/>
      <color theme="1"/>
      <name val="Calibri"/>
      <scheme val="minor"/>
    </font>
    <font>
      <sz val="10"/>
      <color rgb="FFFF0000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4"/>
      <color rgb="FF0070C0"/>
      <name val="Times New Roman"/>
      <family val="1"/>
    </font>
    <font>
      <b/>
      <sz val="10"/>
      <color theme="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sz val="10"/>
      <color rgb="FF000000"/>
      <name val="Calibri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sz val="11"/>
      <name val="Calibri"/>
      <family val="2"/>
    </font>
    <font>
      <sz val="8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2" fillId="0" borderId="1" xfId="0" applyFont="1" applyBorder="1"/>
    <xf numFmtId="3" fontId="2" fillId="0" borderId="1" xfId="0" applyNumberFormat="1" applyFont="1" applyBorder="1"/>
    <xf numFmtId="0" fontId="3" fillId="0" borderId="2" xfId="0" applyFont="1" applyBorder="1"/>
    <xf numFmtId="0" fontId="4" fillId="0" borderId="1" xfId="0" quotePrefix="1" applyFont="1" applyBorder="1" applyAlignment="1">
      <alignment horizontal="center"/>
    </xf>
    <xf numFmtId="0" fontId="3" fillId="0" borderId="3" xfId="0" applyFont="1" applyBorder="1"/>
    <xf numFmtId="0" fontId="4" fillId="0" borderId="1" xfId="0" applyFont="1" applyBorder="1"/>
    <xf numFmtId="3" fontId="4" fillId="0" borderId="1" xfId="0" applyNumberFormat="1" applyFont="1" applyBorder="1"/>
    <xf numFmtId="0" fontId="4" fillId="0" borderId="0" xfId="0" applyFont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5" fillId="0" borderId="5" xfId="0" applyFont="1" applyBorder="1"/>
    <xf numFmtId="0" fontId="5" fillId="0" borderId="0" xfId="0" applyFont="1"/>
    <xf numFmtId="0" fontId="5" fillId="0" borderId="0" xfId="0" applyFont="1" applyAlignment="1">
      <alignment horizontal="left"/>
    </xf>
    <xf numFmtId="49" fontId="6" fillId="0" borderId="0" xfId="0" applyNumberFormat="1" applyFont="1"/>
    <xf numFmtId="164" fontId="5" fillId="0" borderId="0" xfId="0" applyNumberFormat="1" applyFont="1"/>
    <xf numFmtId="49" fontId="6" fillId="0" borderId="6" xfId="0" applyNumberFormat="1" applyFont="1" applyBorder="1"/>
    <xf numFmtId="0" fontId="6" fillId="0" borderId="5" xfId="0" applyFont="1" applyBorder="1"/>
    <xf numFmtId="0" fontId="6" fillId="0" borderId="0" xfId="0" applyFont="1"/>
    <xf numFmtId="0" fontId="6" fillId="0" borderId="0" xfId="0" applyFont="1" applyAlignment="1">
      <alignment horizontal="left"/>
    </xf>
    <xf numFmtId="0" fontId="7" fillId="0" borderId="0" xfId="0" applyFont="1" applyAlignment="1">
      <alignment vertical="center"/>
    </xf>
    <xf numFmtId="164" fontId="6" fillId="0" borderId="0" xfId="0" applyNumberFormat="1" applyFont="1"/>
    <xf numFmtId="0" fontId="8" fillId="0" borderId="6" xfId="0" applyFont="1" applyBorder="1" applyAlignment="1">
      <alignment horizontal="left"/>
    </xf>
    <xf numFmtId="0" fontId="9" fillId="0" borderId="7" xfId="0" applyFont="1" applyBorder="1"/>
    <xf numFmtId="0" fontId="9" fillId="0" borderId="8" xfId="0" applyFont="1" applyBorder="1" applyAlignment="1">
      <alignment vertical="top"/>
    </xf>
    <xf numFmtId="0" fontId="9" fillId="0" borderId="8" xfId="0" applyFont="1" applyBorder="1" applyAlignment="1">
      <alignment horizontal="left" vertical="top"/>
    </xf>
    <xf numFmtId="0" fontId="5" fillId="0" borderId="0" xfId="0" applyFont="1" applyAlignment="1">
      <alignment horizontal="right"/>
    </xf>
    <xf numFmtId="49" fontId="10" fillId="0" borderId="8" xfId="0" applyNumberFormat="1" applyFont="1" applyBorder="1"/>
    <xf numFmtId="49" fontId="10" fillId="0" borderId="9" xfId="0" applyNumberFormat="1" applyFont="1" applyBorder="1"/>
    <xf numFmtId="0" fontId="6" fillId="0" borderId="7" xfId="0" applyFont="1" applyBorder="1"/>
    <xf numFmtId="0" fontId="5" fillId="0" borderId="8" xfId="0" applyFont="1" applyBorder="1" applyAlignment="1">
      <alignment vertical="top"/>
    </xf>
    <xf numFmtId="0" fontId="5" fillId="0" borderId="8" xfId="0" applyFont="1" applyBorder="1" applyAlignment="1">
      <alignment horizontal="left" vertical="top"/>
    </xf>
    <xf numFmtId="0" fontId="6" fillId="0" borderId="0" xfId="0" applyFont="1" applyAlignment="1">
      <alignment vertical="top"/>
    </xf>
    <xf numFmtId="15" fontId="10" fillId="0" borderId="8" xfId="0" applyNumberFormat="1" applyFont="1" applyBorder="1" applyAlignment="1">
      <alignment horizontal="left"/>
    </xf>
    <xf numFmtId="0" fontId="3" fillId="0" borderId="9" xfId="0" applyFont="1" applyBorder="1"/>
    <xf numFmtId="0" fontId="6" fillId="0" borderId="8" xfId="0" applyFont="1" applyBorder="1" applyAlignment="1">
      <alignment vertical="top"/>
    </xf>
    <xf numFmtId="0" fontId="6" fillId="0" borderId="8" xfId="0" applyFont="1" applyBorder="1" applyAlignment="1">
      <alignment horizontal="left" vertical="top"/>
    </xf>
    <xf numFmtId="0" fontId="6" fillId="0" borderId="0" xfId="0" applyFont="1" applyAlignment="1">
      <alignment horizontal="right" vertical="top"/>
    </xf>
    <xf numFmtId="49" fontId="6" fillId="0" borderId="6" xfId="0" applyNumberFormat="1" applyFont="1" applyBorder="1" applyAlignment="1">
      <alignment horizontal="right"/>
    </xf>
    <xf numFmtId="0" fontId="6" fillId="0" borderId="5" xfId="0" applyFont="1" applyBorder="1" applyAlignment="1">
      <alignment vertical="top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/>
    <xf numFmtId="0" fontId="11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6" fontId="6" fillId="0" borderId="1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4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 vertical="center"/>
    </xf>
    <xf numFmtId="11" fontId="4" fillId="0" borderId="1" xfId="0" applyNumberFormat="1" applyFont="1" applyBorder="1"/>
    <xf numFmtId="0" fontId="11" fillId="0" borderId="1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14" fillId="0" borderId="1" xfId="0" applyFont="1" applyBorder="1"/>
    <xf numFmtId="0" fontId="6" fillId="0" borderId="11" xfId="0" quotePrefix="1" applyFont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21" fontId="6" fillId="0" borderId="6" xfId="0" applyNumberFormat="1" applyFont="1" applyBorder="1" applyAlignment="1">
      <alignment horizontal="center" vertical="center"/>
    </xf>
    <xf numFmtId="0" fontId="10" fillId="0" borderId="0" xfId="0" applyFont="1" applyAlignment="1">
      <alignment horizontal="left"/>
    </xf>
    <xf numFmtId="166" fontId="10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wrapText="1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6" fillId="0" borderId="6" xfId="0" applyFont="1" applyBorder="1" applyAlignment="1">
      <alignment horizontal="center"/>
    </xf>
    <xf numFmtId="0" fontId="10" fillId="0" borderId="0" xfId="0" applyFont="1"/>
    <xf numFmtId="38" fontId="10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left"/>
    </xf>
    <xf numFmtId="0" fontId="6" fillId="0" borderId="0" xfId="0" applyFont="1" applyAlignment="1">
      <alignment wrapText="1"/>
    </xf>
    <xf numFmtId="0" fontId="15" fillId="0" borderId="0" xfId="0" applyFont="1"/>
    <xf numFmtId="0" fontId="4" fillId="0" borderId="5" xfId="0" applyFont="1" applyBorder="1"/>
    <xf numFmtId="0" fontId="4" fillId="0" borderId="6" xfId="0" applyFont="1" applyBorder="1"/>
    <xf numFmtId="0" fontId="5" fillId="2" borderId="12" xfId="0" applyFont="1" applyFill="1" applyBorder="1" applyAlignment="1">
      <alignment vertical="center"/>
    </xf>
    <xf numFmtId="0" fontId="6" fillId="2" borderId="13" xfId="0" applyFont="1" applyFill="1" applyBorder="1" applyAlignment="1">
      <alignment vertical="center"/>
    </xf>
    <xf numFmtId="0" fontId="6" fillId="2" borderId="13" xfId="0" applyFont="1" applyFill="1" applyBorder="1" applyAlignment="1">
      <alignment horizontal="left" vertical="center"/>
    </xf>
    <xf numFmtId="0" fontId="5" fillId="2" borderId="13" xfId="0" applyFont="1" applyFill="1" applyBorder="1" applyAlignment="1">
      <alignment vertical="center"/>
    </xf>
    <xf numFmtId="164" fontId="5" fillId="2" borderId="13" xfId="0" applyNumberFormat="1" applyFont="1" applyFill="1" applyBorder="1" applyAlignment="1">
      <alignment vertical="center"/>
    </xf>
    <xf numFmtId="49" fontId="6" fillId="2" borderId="14" xfId="0" applyNumberFormat="1" applyFont="1" applyFill="1" applyBorder="1" applyAlignment="1">
      <alignment vertical="center"/>
    </xf>
    <xf numFmtId="0" fontId="6" fillId="0" borderId="6" xfId="0" applyFont="1" applyBorder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6" fillId="0" borderId="6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0" xfId="0" applyFont="1" applyAlignment="1">
      <alignment horizontal="right"/>
    </xf>
    <xf numFmtId="0" fontId="10" fillId="0" borderId="5" xfId="0" applyFont="1" applyBorder="1" applyAlignment="1">
      <alignment horizontal="left"/>
    </xf>
    <xf numFmtId="0" fontId="0" fillId="0" borderId="0" xfId="0"/>
    <xf numFmtId="0" fontId="10" fillId="0" borderId="5" xfId="0" applyFont="1" applyBorder="1"/>
    <xf numFmtId="0" fontId="5" fillId="2" borderId="15" xfId="0" applyFont="1" applyFill="1" applyBorder="1" applyAlignment="1">
      <alignment horizontal="left"/>
    </xf>
    <xf numFmtId="0" fontId="16" fillId="0" borderId="10" xfId="0" applyFont="1" applyBorder="1"/>
    <xf numFmtId="0" fontId="16" fillId="0" borderId="16" xfId="0" applyFont="1" applyBorder="1"/>
    <xf numFmtId="164" fontId="6" fillId="0" borderId="0" xfId="0" applyNumberFormat="1" applyFont="1" applyAlignment="1">
      <alignment horizontal="right"/>
    </xf>
    <xf numFmtId="3" fontId="6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323850</xdr:colOff>
      <xdr:row>0</xdr:row>
      <xdr:rowOff>104775</xdr:rowOff>
    </xdr:from>
    <xdr:ext cx="3038475" cy="6762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71525" y="104775"/>
          <a:ext cx="3038475" cy="676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lang="en-US" sz="105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DYNA-SERV GLOBAL CORPORATION </a:t>
          </a:r>
          <a:endParaRPr sz="105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Unit 7, OGRI Building 6A, 149 East Main Avenue Loop</a:t>
          </a:r>
          <a:endParaRPr sz="90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Phase 6-C, Laguna Technopark SEZ, </a:t>
          </a:r>
          <a:endParaRPr sz="90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Biñan City, Laguna, Philippines 4024</a:t>
          </a:r>
          <a:endParaRPr sz="90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aseline="-25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</a:t>
          </a: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57150</xdr:colOff>
      <xdr:row>0</xdr:row>
      <xdr:rowOff>57150</xdr:rowOff>
    </xdr:from>
    <xdr:ext cx="704850" cy="6572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84"/>
  <sheetViews>
    <sheetView showGridLines="0" tabSelected="1" topLeftCell="A9" workbookViewId="0">
      <selection activeCell="G19" sqref="G19"/>
    </sheetView>
  </sheetViews>
  <sheetFormatPr defaultColWidth="14.42578125" defaultRowHeight="15" customHeight="1" x14ac:dyDescent="0.25"/>
  <cols>
    <col min="1" max="1" width="6.7109375" customWidth="1"/>
    <col min="2" max="3" width="9.28515625" customWidth="1"/>
    <col min="4" max="4" width="10.85546875" customWidth="1"/>
    <col min="5" max="5" width="17.85546875" customWidth="1"/>
    <col min="6" max="6" width="55.7109375" customWidth="1"/>
    <col min="7" max="7" width="15" customWidth="1"/>
    <col min="8" max="8" width="14" customWidth="1"/>
    <col min="9" max="9" width="18.7109375" customWidth="1"/>
    <col min="10" max="10" width="9.7109375" customWidth="1"/>
  </cols>
  <sheetData>
    <row r="1" spans="1:25" x14ac:dyDescent="0.25">
      <c r="A1" s="5"/>
      <c r="B1" s="7"/>
      <c r="C1" s="7"/>
      <c r="D1" s="7"/>
      <c r="E1" s="7"/>
      <c r="F1" s="7"/>
      <c r="G1" s="7"/>
      <c r="H1" s="7"/>
      <c r="I1" s="11"/>
    </row>
    <row r="2" spans="1:25" ht="41.25" customHeight="1" x14ac:dyDescent="0.25">
      <c r="A2" s="12"/>
      <c r="I2" s="13"/>
    </row>
    <row r="3" spans="1:25" ht="22.5" customHeight="1" x14ac:dyDescent="0.25">
      <c r="A3" s="14" t="s">
        <v>11</v>
      </c>
      <c r="B3" s="15"/>
      <c r="C3" s="15"/>
      <c r="D3" s="15"/>
      <c r="E3" s="16"/>
      <c r="F3" s="15"/>
      <c r="G3" s="17"/>
      <c r="H3" s="18"/>
      <c r="I3" s="19"/>
    </row>
    <row r="4" spans="1:25" ht="12.75" customHeight="1" x14ac:dyDescent="0.25">
      <c r="A4" s="20"/>
      <c r="B4" s="21"/>
      <c r="C4" s="21"/>
      <c r="D4" s="21"/>
      <c r="E4" s="22"/>
      <c r="F4" s="23"/>
      <c r="G4" s="15"/>
      <c r="H4" s="24"/>
      <c r="I4" s="19"/>
    </row>
    <row r="5" spans="1:25" ht="12.75" customHeight="1" x14ac:dyDescent="0.25">
      <c r="A5" s="14" t="s">
        <v>21</v>
      </c>
      <c r="B5" s="21"/>
      <c r="C5" s="21"/>
      <c r="D5" s="21"/>
      <c r="E5" s="22"/>
      <c r="F5" s="23"/>
      <c r="G5" s="17"/>
      <c r="H5" s="24"/>
      <c r="I5" s="25" t="s">
        <v>25</v>
      </c>
    </row>
    <row r="6" spans="1:25" ht="15" customHeight="1" x14ac:dyDescent="0.25">
      <c r="A6" s="26" t="s">
        <v>26</v>
      </c>
      <c r="B6" s="27"/>
      <c r="C6" s="27"/>
      <c r="D6" s="27"/>
      <c r="E6" s="28"/>
      <c r="F6" s="23"/>
      <c r="G6" s="29" t="s">
        <v>30</v>
      </c>
      <c r="H6" s="30" t="s">
        <v>593</v>
      </c>
      <c r="I6" s="31"/>
    </row>
    <row r="7" spans="1:25" ht="15" customHeight="1" x14ac:dyDescent="0.25">
      <c r="A7" s="32" t="s">
        <v>33</v>
      </c>
      <c r="B7" s="33"/>
      <c r="C7" s="33"/>
      <c r="D7" s="33"/>
      <c r="E7" s="34"/>
      <c r="F7" s="35"/>
      <c r="G7" s="29" t="s">
        <v>35</v>
      </c>
      <c r="H7" s="36">
        <v>46280</v>
      </c>
      <c r="I7" s="37"/>
    </row>
    <row r="8" spans="1:25" ht="14.25" customHeight="1" x14ac:dyDescent="0.25">
      <c r="A8" s="32" t="s">
        <v>38</v>
      </c>
      <c r="B8" s="38"/>
      <c r="C8" s="38"/>
      <c r="D8" s="38"/>
      <c r="E8" s="39"/>
      <c r="F8" s="35"/>
      <c r="G8" s="35"/>
      <c r="H8" s="40"/>
      <c r="I8" s="41"/>
    </row>
    <row r="9" spans="1:25" ht="14.25" customHeight="1" x14ac:dyDescent="0.25">
      <c r="A9" s="42"/>
      <c r="B9" s="22"/>
      <c r="C9" s="22"/>
      <c r="D9" s="22"/>
      <c r="E9" s="22"/>
      <c r="G9" s="15"/>
      <c r="H9" s="24"/>
      <c r="I9" s="19"/>
    </row>
    <row r="10" spans="1:25" ht="33.75" customHeight="1" x14ac:dyDescent="0.25">
      <c r="A10" s="43" t="s">
        <v>46</v>
      </c>
      <c r="B10" s="43" t="s">
        <v>48</v>
      </c>
      <c r="C10" s="43" t="s">
        <v>4</v>
      </c>
      <c r="D10" s="43" t="s">
        <v>51</v>
      </c>
      <c r="E10" s="43" t="s">
        <v>52</v>
      </c>
      <c r="F10" s="43" t="s">
        <v>55</v>
      </c>
      <c r="G10" s="43" t="s">
        <v>57</v>
      </c>
      <c r="H10" s="43" t="s">
        <v>58</v>
      </c>
      <c r="I10" s="43" t="s">
        <v>59</v>
      </c>
    </row>
    <row r="11" spans="1:25" ht="19.5" hidden="1" customHeight="1" x14ac:dyDescent="0.25">
      <c r="A11" s="44" t="s">
        <v>5</v>
      </c>
      <c r="B11" s="45"/>
      <c r="C11" s="45">
        <f>IFERROR(VLOOKUP(E11,'DO NOT EDIT'!$B$2:$D$1007, 3, FALSE), "")</f>
        <v>9000</v>
      </c>
      <c r="D11" s="46">
        <f t="shared" ref="D11:D26" si="0">B11/C11</f>
        <v>0</v>
      </c>
      <c r="E11" s="47" t="s">
        <v>73</v>
      </c>
      <c r="F11" s="49" t="str">
        <f>IFERROR(VLOOKUP(E11, 'DO NOT EDIT'!$B$2:$D$1010, 2, FALSE), "")</f>
        <v xml:space="preserve">TUBE ASSY M_ADI-0098-22RT MSOP UP_DS </v>
      </c>
      <c r="G11" s="47">
        <v>47304931</v>
      </c>
      <c r="H11" s="50" t="s">
        <v>88</v>
      </c>
      <c r="I11" s="51">
        <v>0.45833333333333331</v>
      </c>
      <c r="J11" s="52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</row>
    <row r="12" spans="1:25" ht="19.5" customHeight="1" x14ac:dyDescent="0.25">
      <c r="A12" s="44" t="s">
        <v>5</v>
      </c>
      <c r="B12" s="103">
        <v>10000</v>
      </c>
      <c r="C12" s="45">
        <f>IFERROR(VLOOKUP(E12,'DO NOT EDIT'!$B$2:$D$1007, 3, FALSE), "")</f>
        <v>2000</v>
      </c>
      <c r="D12" s="46">
        <f>B12/C12</f>
        <v>5</v>
      </c>
      <c r="E12" s="47" t="s">
        <v>85</v>
      </c>
      <c r="F12" s="49" t="str">
        <f>IFERROR(VLOOKUP(E12, 'DO NOT EDIT'!$B$2:$D$1010, 2, FALSE), "")</f>
        <v>TUBE ASSY M_ADI-0098-23RT 14-16 ARWUP_D</v>
      </c>
      <c r="G12" s="47">
        <v>47367069</v>
      </c>
      <c r="H12" s="50" t="s">
        <v>88</v>
      </c>
      <c r="I12" s="51">
        <v>0.45833333333333331</v>
      </c>
      <c r="J12" s="52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</row>
    <row r="13" spans="1:25" ht="20.25" customHeight="1" x14ac:dyDescent="0.25">
      <c r="A13" s="44" t="s">
        <v>8</v>
      </c>
      <c r="B13" s="103">
        <v>9000</v>
      </c>
      <c r="C13" s="45">
        <f>IFERROR(VLOOKUP(E13,'DO NOT EDIT'!$B$2:$D$1007, 3, FALSE), "")</f>
        <v>9000</v>
      </c>
      <c r="D13" s="46">
        <f>B13/C13</f>
        <v>1</v>
      </c>
      <c r="E13" s="47" t="s">
        <v>79</v>
      </c>
      <c r="F13" s="49" t="str">
        <f>IFERROR(VLOOKUP(E13, 'DO NOT EDIT'!$B$2:$D$1010, 2, FALSE), "")</f>
        <v>TUBE ASSY M_ADI-0098-22RT MSOP DWN_DS</v>
      </c>
      <c r="G13" s="47">
        <v>47367069</v>
      </c>
      <c r="H13" s="50" t="s">
        <v>88</v>
      </c>
      <c r="I13" s="51">
        <v>0.45833333333333331</v>
      </c>
      <c r="J13" s="52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</row>
    <row r="14" spans="1:25" ht="20.25" customHeight="1" x14ac:dyDescent="0.25">
      <c r="A14" s="44" t="s">
        <v>12</v>
      </c>
      <c r="B14" s="103">
        <v>9000</v>
      </c>
      <c r="C14" s="45">
        <f>IFERROR(VLOOKUP(E14,'DO NOT EDIT'!$B$2:$D$1007, 3, FALSE), "")</f>
        <v>9000</v>
      </c>
      <c r="D14" s="46">
        <f t="shared" si="0"/>
        <v>1</v>
      </c>
      <c r="E14" s="47" t="s">
        <v>79</v>
      </c>
      <c r="F14" s="49" t="str">
        <f>IFERROR(VLOOKUP(E14, 'DO NOT EDIT'!$B$2:$D$1010, 2, FALSE), "")</f>
        <v>TUBE ASSY M_ADI-0098-22RT MSOP DWN_DS</v>
      </c>
      <c r="G14" s="47">
        <v>47386150</v>
      </c>
      <c r="H14" s="50" t="s">
        <v>88</v>
      </c>
      <c r="I14" s="51">
        <v>0.45833333333333331</v>
      </c>
      <c r="J14" s="52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</row>
    <row r="15" spans="1:25" ht="19.5" customHeight="1" x14ac:dyDescent="0.25">
      <c r="A15" s="44" t="s">
        <v>15</v>
      </c>
      <c r="B15" s="103">
        <v>3000</v>
      </c>
      <c r="C15" s="45">
        <f>IFERROR(VLOOKUP(E15,'DO NOT EDIT'!$B$2:$D$1007, 3, FALSE), "")</f>
        <v>1000</v>
      </c>
      <c r="D15" s="46">
        <f>B15/C15</f>
        <v>3</v>
      </c>
      <c r="E15" s="47" t="s">
        <v>98</v>
      </c>
      <c r="F15" s="49" t="str">
        <f>IFERROR(VLOOKUP(E15, 'DO NOT EDIT'!$B$2:$D$1010, 2, FALSE), "")</f>
        <v>TUBE ASSY M_ADI-0098-24RT 5.3MM SSOP UP_D</v>
      </c>
      <c r="G15" s="47">
        <v>47386150</v>
      </c>
      <c r="H15" s="50" t="s">
        <v>88</v>
      </c>
      <c r="I15" s="51">
        <v>0.45833333333333331</v>
      </c>
      <c r="J15" s="52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</row>
    <row r="16" spans="1:25" ht="19.5" customHeight="1" x14ac:dyDescent="0.25">
      <c r="A16" s="44" t="s">
        <v>18</v>
      </c>
      <c r="B16" s="103">
        <v>4500</v>
      </c>
      <c r="C16" s="45">
        <f>IFERROR(VLOOKUP(E16,'DO NOT EDIT'!$B$2:$D$1007, 3, FALSE), "")</f>
        <v>4500</v>
      </c>
      <c r="D16" s="46">
        <f>B16/C16</f>
        <v>1</v>
      </c>
      <c r="E16" s="47" t="s">
        <v>152</v>
      </c>
      <c r="F16" s="49" t="str">
        <f>IFERROR(VLOOKUP(E16, 'DO NOT EDIT'!$B$2:$D$1010, 2, FALSE), "")</f>
        <v>TUBE ASSY M_LT-001RT MSOP DWN LTC_D</v>
      </c>
      <c r="G16" s="47">
        <v>47386150</v>
      </c>
      <c r="H16" s="50" t="s">
        <v>88</v>
      </c>
      <c r="I16" s="51">
        <v>0.45833333333333331</v>
      </c>
      <c r="J16" s="52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</row>
    <row r="17" spans="1:25" ht="19.5" customHeight="1" x14ac:dyDescent="0.25">
      <c r="A17" s="44" t="s">
        <v>22</v>
      </c>
      <c r="B17" s="103">
        <v>1800</v>
      </c>
      <c r="C17" s="45">
        <f>IFERROR(VLOOKUP(E17,'DO NOT EDIT'!$B$2:$D$1007, 3, FALSE), "")</f>
        <v>600</v>
      </c>
      <c r="D17" s="46">
        <f>B17/C17</f>
        <v>3</v>
      </c>
      <c r="E17" s="47" t="s">
        <v>188</v>
      </c>
      <c r="F17" s="49" t="str">
        <f>IFERROR(VLOOKUP(E17, 'DO NOT EDIT'!$B$2:$D$1010, 2, FALSE), "")</f>
        <v>TUBE ASSY M_LT-003RT SOIC/SSOP DWN LTC_D</v>
      </c>
      <c r="G17" s="47">
        <v>47386150</v>
      </c>
      <c r="H17" s="50" t="s">
        <v>88</v>
      </c>
      <c r="I17" s="51">
        <v>0.45833333333333331</v>
      </c>
      <c r="J17" s="52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</row>
    <row r="18" spans="1:25" ht="19.5" customHeight="1" x14ac:dyDescent="0.25">
      <c r="A18" s="44" t="s">
        <v>27</v>
      </c>
      <c r="B18" s="103">
        <v>5000</v>
      </c>
      <c r="C18" s="45">
        <f>IFERROR(VLOOKUP(E18,'DO NOT EDIT'!$B$2:$D$1007, 3, FALSE), "")</f>
        <v>5000</v>
      </c>
      <c r="D18" s="46">
        <f>B18/C18</f>
        <v>1</v>
      </c>
      <c r="E18" s="58" t="s">
        <v>194</v>
      </c>
      <c r="F18" s="49" t="str">
        <f>IFERROR(VLOOKUP(E18, 'DO NOT EDIT'!$B$2:$D$1010, 2, FALSE), "")</f>
        <v>TUBE ASSY M_LT-004RT 3X3 QFN UP LTC_D</v>
      </c>
      <c r="G18" s="47">
        <v>47386150</v>
      </c>
      <c r="H18" s="50" t="s">
        <v>88</v>
      </c>
      <c r="I18" s="51">
        <v>0.45833333333333331</v>
      </c>
      <c r="J18" s="52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</row>
    <row r="19" spans="1:25" ht="19.5" customHeight="1" x14ac:dyDescent="0.25">
      <c r="A19" s="44" t="s">
        <v>31</v>
      </c>
      <c r="B19" s="103">
        <v>14000</v>
      </c>
      <c r="C19" s="45">
        <f>IFERROR(VLOOKUP(E19,'DO NOT EDIT'!$B$2:$D$1007, 3, FALSE), "")</f>
        <v>2000</v>
      </c>
      <c r="D19" s="46">
        <f t="shared" si="0"/>
        <v>7</v>
      </c>
      <c r="E19" s="47" t="s">
        <v>92</v>
      </c>
      <c r="F19" s="49" t="str">
        <f>IFERROR(VLOOKUP(E19, 'DO NOT EDIT'!$B$2:$D$1010, 2, FALSE), "")</f>
        <v>TUBE ASSY M_ADI-0098-23RT 14-16 ARWDN_D</v>
      </c>
      <c r="G19" s="47">
        <v>47359805</v>
      </c>
      <c r="H19" s="50" t="s">
        <v>88</v>
      </c>
      <c r="I19" s="51">
        <v>0.45833333333333331</v>
      </c>
      <c r="J19" s="52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</row>
    <row r="20" spans="1:25" ht="19.5" customHeight="1" x14ac:dyDescent="0.25">
      <c r="A20" s="44" t="s">
        <v>36</v>
      </c>
      <c r="B20" s="103">
        <v>13500</v>
      </c>
      <c r="C20" s="45">
        <f>IFERROR(VLOOKUP(E20,'DO NOT EDIT'!$B$2:$D$1007, 3, FALSE), "")</f>
        <v>4500</v>
      </c>
      <c r="D20" s="46">
        <f>B20/C20</f>
        <v>3</v>
      </c>
      <c r="E20" s="47" t="s">
        <v>146</v>
      </c>
      <c r="F20" s="49" t="str">
        <f>IFERROR(VLOOKUP(E20, 'DO NOT EDIT'!$B$2:$D$1010, 2, FALSE), "")</f>
        <v>TUBE ASSY M_LT-001RT MSOP UP LTC_D</v>
      </c>
      <c r="G20" s="47">
        <v>47359805</v>
      </c>
      <c r="H20" s="50" t="s">
        <v>88</v>
      </c>
      <c r="I20" s="51">
        <v>0.45833333333333331</v>
      </c>
      <c r="J20" s="52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</row>
    <row r="21" spans="1:25" ht="19.5" customHeight="1" x14ac:dyDescent="0.25">
      <c r="A21" s="44" t="s">
        <v>40</v>
      </c>
      <c r="B21" s="103">
        <v>2000</v>
      </c>
      <c r="C21" s="45">
        <f>IFERROR(VLOOKUP(E21,'DO NOT EDIT'!$B$2:$D$1007, 3, FALSE), "")</f>
        <v>2000</v>
      </c>
      <c r="D21" s="46">
        <f t="shared" si="0"/>
        <v>1</v>
      </c>
      <c r="E21" s="47" t="s">
        <v>218</v>
      </c>
      <c r="F21" s="49" t="str">
        <f>IFERROR(VLOOKUP(E21, 'DO NOT EDIT'!$B$2:$D$1010, 2, FALSE), "")</f>
        <v>TUBE ASSY M_ADI-0098-27RT 8L ARRDWN_DS</v>
      </c>
      <c r="G21" s="47">
        <v>47304931</v>
      </c>
      <c r="H21" s="50" t="s">
        <v>88</v>
      </c>
      <c r="I21" s="51">
        <v>0.45833333333333331</v>
      </c>
      <c r="J21" s="52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</row>
    <row r="22" spans="1:25" ht="19.5" customHeight="1" x14ac:dyDescent="0.25">
      <c r="A22" s="44" t="s">
        <v>43</v>
      </c>
      <c r="B22" s="103">
        <v>27000</v>
      </c>
      <c r="C22" s="45">
        <f>IFERROR(VLOOKUP(E22,'DO NOT EDIT'!$B$2:$D$1007, 3, FALSE), "")</f>
        <v>4500</v>
      </c>
      <c r="D22" s="46">
        <f t="shared" si="0"/>
        <v>6</v>
      </c>
      <c r="E22" s="47" t="s">
        <v>158</v>
      </c>
      <c r="F22" s="49" t="str">
        <f>IFERROR(VLOOKUP(E22, 'DO NOT EDIT'!$B$2:$D$1010, 2, FALSE), "")</f>
        <v>TUBE ASSY M_LT-001RT MSOP NOPLUG_D</v>
      </c>
      <c r="G22" s="47">
        <v>47364201</v>
      </c>
      <c r="H22" s="50" t="s">
        <v>88</v>
      </c>
      <c r="I22" s="51">
        <v>0.45833333333333331</v>
      </c>
      <c r="J22" s="52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</row>
    <row r="23" spans="1:25" ht="19.5" customHeight="1" x14ac:dyDescent="0.25">
      <c r="A23" s="44" t="s">
        <v>47</v>
      </c>
      <c r="B23" s="103">
        <v>25000</v>
      </c>
      <c r="C23" s="45">
        <f>IFERROR(VLOOKUP(E23,'DO NOT EDIT'!$B$2:$D$1007, 3, FALSE), "")</f>
        <v>5000</v>
      </c>
      <c r="D23" s="46">
        <f t="shared" si="0"/>
        <v>5</v>
      </c>
      <c r="E23" s="58" t="s">
        <v>201</v>
      </c>
      <c r="F23" s="49" t="str">
        <f>IFERROR(VLOOKUP(E23, 'DO NOT EDIT'!$B$2:$D$1010, 2, FALSE), "")</f>
        <v>TUBE ASSY M_LT-004RT 3X3 QFN DWN LTC_D</v>
      </c>
      <c r="G23" s="47">
        <v>47369982</v>
      </c>
      <c r="H23" s="50" t="s">
        <v>88</v>
      </c>
      <c r="I23" s="51">
        <v>0.45833333333333331</v>
      </c>
      <c r="J23" s="52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</row>
    <row r="24" spans="1:25" ht="19.5" customHeight="1" x14ac:dyDescent="0.25">
      <c r="A24" s="44" t="s">
        <v>53</v>
      </c>
      <c r="B24" s="103">
        <v>10000</v>
      </c>
      <c r="C24" s="45">
        <f>IFERROR(VLOOKUP(E24,'DO NOT EDIT'!$B$2:$D$1007, 3, FALSE), "")</f>
        <v>5000</v>
      </c>
      <c r="D24" s="46">
        <f t="shared" si="0"/>
        <v>2</v>
      </c>
      <c r="E24" s="58" t="s">
        <v>207</v>
      </c>
      <c r="F24" s="49" t="str">
        <f>IFERROR(VLOOKUP(E24, 'DO NOT EDIT'!$B$2:$D$1010, 2, FALSE), "")</f>
        <v>TUBE ASSY M_LT-004RT 3X3QFN NOPLG LTC_D</v>
      </c>
      <c r="G24" s="47">
        <v>47324039</v>
      </c>
      <c r="H24" s="50" t="s">
        <v>88</v>
      </c>
      <c r="I24" s="51">
        <v>0.45833333333333331</v>
      </c>
      <c r="J24" s="52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</row>
    <row r="25" spans="1:25" ht="19.5" customHeight="1" x14ac:dyDescent="0.25">
      <c r="A25" s="44" t="s">
        <v>60</v>
      </c>
      <c r="B25" s="103">
        <v>2000</v>
      </c>
      <c r="C25" s="45">
        <f>IFERROR(VLOOKUP(E25,'DO NOT EDIT'!$B$2:$D$1007, 3, FALSE), "")</f>
        <v>2000</v>
      </c>
      <c r="D25" s="46">
        <f t="shared" si="0"/>
        <v>1</v>
      </c>
      <c r="E25" s="58" t="s">
        <v>324</v>
      </c>
      <c r="F25" s="49" t="str">
        <f>IFERROR(VLOOKUP(E25, 'DO NOT EDIT'!$B$2:$D$1010, 2, FALSE), "")</f>
        <v>TUBE ASSY C_LT-013RT 9X9 QFN UP LTC_D</v>
      </c>
      <c r="G25" s="47">
        <v>47324031</v>
      </c>
      <c r="H25" s="50" t="s">
        <v>88</v>
      </c>
      <c r="I25" s="51">
        <v>0.45833333333333331</v>
      </c>
      <c r="J25" s="52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</row>
    <row r="26" spans="1:25" ht="19.5" customHeight="1" x14ac:dyDescent="0.25">
      <c r="A26" s="44" t="s">
        <v>63</v>
      </c>
      <c r="B26" s="103">
        <v>1050</v>
      </c>
      <c r="C26" s="45">
        <f>IFERROR(VLOOKUP(E26,'DO NOT EDIT'!$B$2:$D$1007, 3, FALSE), "")</f>
        <v>150</v>
      </c>
      <c r="D26" s="46">
        <f t="shared" si="0"/>
        <v>7</v>
      </c>
      <c r="E26" s="47" t="s">
        <v>372</v>
      </c>
      <c r="F26" s="49" t="str">
        <f>IFERROR(VLOOKUP(E26, 'DO NOT EDIT'!$B$2:$D$1010, 2, FALSE), "")</f>
        <v>TUBE ASSY C_LT016RT DDPAK NOPLG LTC_D</v>
      </c>
      <c r="G26" s="47">
        <v>47303686</v>
      </c>
      <c r="H26" s="50" t="s">
        <v>88</v>
      </c>
      <c r="I26" s="51">
        <v>0.45833333333333331</v>
      </c>
      <c r="J26" s="52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</row>
    <row r="27" spans="1:25" ht="15.75" customHeight="1" x14ac:dyDescent="0.25">
      <c r="A27" s="61" t="s">
        <v>586</v>
      </c>
      <c r="B27" s="62" t="s">
        <v>586</v>
      </c>
      <c r="C27" s="62" t="s">
        <v>586</v>
      </c>
      <c r="D27" s="62" t="s">
        <v>586</v>
      </c>
      <c r="E27" s="62" t="s">
        <v>586</v>
      </c>
      <c r="F27" s="62" t="s">
        <v>586</v>
      </c>
      <c r="G27" s="62" t="s">
        <v>586</v>
      </c>
      <c r="H27" s="62" t="s">
        <v>586</v>
      </c>
      <c r="I27" s="62" t="s">
        <v>586</v>
      </c>
    </row>
    <row r="28" spans="1:25" ht="15.75" customHeight="1" x14ac:dyDescent="0.25">
      <c r="A28" s="63"/>
      <c r="B28" s="64"/>
      <c r="C28" s="64"/>
      <c r="D28" s="64"/>
      <c r="E28" s="65"/>
      <c r="F28" s="66"/>
      <c r="G28" s="65"/>
      <c r="H28" s="67"/>
      <c r="I28" s="68"/>
    </row>
    <row r="29" spans="1:25" ht="15.75" customHeight="1" x14ac:dyDescent="0.25">
      <c r="A29" s="96"/>
      <c r="B29" s="97"/>
      <c r="C29" s="69"/>
      <c r="D29" s="70">
        <f>SUM(D11:D26)</f>
        <v>47</v>
      </c>
      <c r="E29" s="71"/>
      <c r="F29" s="72"/>
      <c r="G29" s="73"/>
      <c r="H29" s="74"/>
      <c r="I29" s="75"/>
    </row>
    <row r="30" spans="1:25" ht="15" customHeight="1" x14ac:dyDescent="0.25">
      <c r="A30" s="98" t="s">
        <v>587</v>
      </c>
      <c r="B30" s="97"/>
      <c r="C30" s="76"/>
      <c r="D30" s="77">
        <f>SUM(B11:B26)</f>
        <v>136850</v>
      </c>
      <c r="E30" s="78"/>
      <c r="F30" s="79"/>
      <c r="G30" s="73"/>
      <c r="H30" s="74"/>
      <c r="I30" s="75"/>
      <c r="L30" s="80"/>
    </row>
    <row r="31" spans="1:25" ht="16.5" customHeight="1" x14ac:dyDescent="0.25">
      <c r="A31" s="81"/>
      <c r="B31" s="10"/>
      <c r="C31" s="10"/>
      <c r="D31" s="10"/>
      <c r="E31" s="10"/>
      <c r="F31" s="10"/>
      <c r="G31" s="10"/>
      <c r="H31" s="10"/>
      <c r="I31" s="82"/>
    </row>
    <row r="32" spans="1:25" ht="15" customHeight="1" x14ac:dyDescent="0.25">
      <c r="A32" s="83" t="s">
        <v>588</v>
      </c>
      <c r="B32" s="84"/>
      <c r="C32" s="84"/>
      <c r="D32" s="84"/>
      <c r="E32" s="85"/>
      <c r="F32" s="84"/>
      <c r="G32" s="86"/>
      <c r="H32" s="87"/>
      <c r="I32" s="88"/>
    </row>
    <row r="33" spans="1:9" ht="15.75" customHeight="1" x14ac:dyDescent="0.25">
      <c r="A33" s="20"/>
      <c r="B33" s="21"/>
      <c r="C33" s="21"/>
      <c r="D33" s="21"/>
      <c r="E33" s="22"/>
      <c r="F33" s="21"/>
      <c r="G33" s="21"/>
      <c r="H33" s="21"/>
      <c r="I33" s="89"/>
    </row>
    <row r="34" spans="1:9" ht="20.25" customHeight="1" x14ac:dyDescent="0.25">
      <c r="A34" s="81"/>
      <c r="B34" s="10"/>
      <c r="C34" s="90"/>
      <c r="D34" s="90"/>
      <c r="E34" s="91"/>
      <c r="F34" s="90"/>
      <c r="G34" s="90"/>
      <c r="H34" s="90"/>
      <c r="I34" s="92"/>
    </row>
    <row r="35" spans="1:9" ht="12.75" customHeight="1" x14ac:dyDescent="0.25">
      <c r="A35" s="93" t="s">
        <v>589</v>
      </c>
      <c r="B35" s="90"/>
      <c r="C35" s="90"/>
      <c r="D35" s="90"/>
      <c r="E35" s="91"/>
      <c r="F35" s="90"/>
      <c r="G35" s="90"/>
      <c r="H35" s="90"/>
      <c r="I35" s="92"/>
    </row>
    <row r="36" spans="1:9" ht="12.75" customHeight="1" x14ac:dyDescent="0.25">
      <c r="A36" s="94" t="s">
        <v>590</v>
      </c>
      <c r="B36" s="90"/>
      <c r="C36" s="21"/>
      <c r="D36" s="21"/>
      <c r="E36" s="22"/>
      <c r="F36" s="21"/>
      <c r="G36" s="21"/>
      <c r="H36" s="21"/>
      <c r="I36" s="89"/>
    </row>
    <row r="37" spans="1:9" ht="9.75" customHeight="1" x14ac:dyDescent="0.25">
      <c r="A37" s="99"/>
      <c r="B37" s="100"/>
      <c r="C37" s="100"/>
      <c r="D37" s="100"/>
      <c r="E37" s="100"/>
      <c r="F37" s="100"/>
      <c r="G37" s="100"/>
      <c r="H37" s="100"/>
      <c r="I37" s="101"/>
    </row>
    <row r="38" spans="1:9" ht="12.75" customHeight="1" x14ac:dyDescent="0.25">
      <c r="A38" s="17"/>
      <c r="B38" s="17"/>
      <c r="C38" s="17"/>
      <c r="D38" s="17"/>
      <c r="E38" s="78"/>
      <c r="F38" s="17"/>
      <c r="G38" s="17"/>
      <c r="H38" s="102" t="s">
        <v>591</v>
      </c>
      <c r="I38" s="97"/>
    </row>
    <row r="39" spans="1:9" ht="12.75" customHeight="1" x14ac:dyDescent="0.25">
      <c r="A39" s="17"/>
      <c r="B39" s="17"/>
      <c r="C39" s="17"/>
      <c r="D39" s="17"/>
      <c r="E39" s="78"/>
      <c r="F39" s="17"/>
      <c r="G39" s="17"/>
      <c r="H39" s="95"/>
      <c r="I39" s="95" t="s">
        <v>592</v>
      </c>
    </row>
    <row r="40" spans="1:9" ht="12.75" customHeight="1" x14ac:dyDescent="0.25"/>
    <row r="41" spans="1:9" ht="15.75" customHeight="1" x14ac:dyDescent="0.25"/>
    <row r="42" spans="1:9" ht="15.75" customHeight="1" x14ac:dyDescent="0.25"/>
    <row r="43" spans="1:9" ht="15.75" customHeight="1" x14ac:dyDescent="0.25"/>
    <row r="44" spans="1:9" ht="15.75" customHeight="1" x14ac:dyDescent="0.25"/>
    <row r="45" spans="1:9" ht="15.75" customHeight="1" x14ac:dyDescent="0.25"/>
    <row r="46" spans="1:9" ht="15.75" customHeight="1" x14ac:dyDescent="0.25"/>
    <row r="47" spans="1:9" ht="15.75" customHeight="1" x14ac:dyDescent="0.25"/>
    <row r="48" spans="1:9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</sheetData>
  <mergeCells count="4">
    <mergeCell ref="A29:B29"/>
    <mergeCell ref="A30:B30"/>
    <mergeCell ref="A37:I37"/>
    <mergeCell ref="H38:I38"/>
  </mergeCells>
  <phoneticPr fontId="17" type="noConversion"/>
  <pageMargins left="0.25" right="0.25" top="0.24291666666666667" bottom="0.75" header="0" footer="0"/>
  <pageSetup paperSize="9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/>
  </sheetViews>
  <sheetFormatPr defaultColWidth="14.42578125" defaultRowHeight="15" customHeight="1" x14ac:dyDescent="0.25"/>
  <cols>
    <col min="1" max="1" width="4.85546875" customWidth="1"/>
    <col min="2" max="2" width="14.7109375" customWidth="1"/>
    <col min="3" max="3" width="45.42578125" customWidth="1"/>
    <col min="4" max="6" width="8.7109375" customWidth="1"/>
  </cols>
  <sheetData>
    <row r="1" spans="1:5" ht="14.25" customHeight="1" x14ac:dyDescent="0.25">
      <c r="A1" s="1" t="s">
        <v>0</v>
      </c>
      <c r="B1" s="1"/>
      <c r="C1" s="1"/>
      <c r="D1" s="2"/>
    </row>
    <row r="2" spans="1:5" ht="14.25" customHeight="1" x14ac:dyDescent="0.25">
      <c r="A2" s="3" t="s">
        <v>1</v>
      </c>
      <c r="B2" s="3" t="s">
        <v>2</v>
      </c>
      <c r="C2" s="3" t="s">
        <v>3</v>
      </c>
      <c r="D2" s="4" t="s">
        <v>4</v>
      </c>
    </row>
    <row r="3" spans="1:5" ht="14.25" customHeight="1" x14ac:dyDescent="0.25">
      <c r="A3" s="6" t="s">
        <v>5</v>
      </c>
      <c r="B3" s="8" t="s">
        <v>6</v>
      </c>
      <c r="C3" s="8" t="s">
        <v>7</v>
      </c>
      <c r="D3" s="9">
        <v>1500</v>
      </c>
      <c r="E3" s="10"/>
    </row>
    <row r="4" spans="1:5" ht="14.25" customHeight="1" x14ac:dyDescent="0.25">
      <c r="A4" s="6" t="s">
        <v>8</v>
      </c>
      <c r="B4" s="8" t="s">
        <v>9</v>
      </c>
      <c r="C4" s="8" t="s">
        <v>10</v>
      </c>
      <c r="D4" s="9">
        <v>1500</v>
      </c>
      <c r="E4" s="10"/>
    </row>
    <row r="5" spans="1:5" ht="14.25" customHeight="1" x14ac:dyDescent="0.25">
      <c r="A5" s="6" t="s">
        <v>12</v>
      </c>
      <c r="B5" s="8" t="s">
        <v>13</v>
      </c>
      <c r="C5" s="8" t="s">
        <v>14</v>
      </c>
      <c r="D5" s="9">
        <v>1500</v>
      </c>
      <c r="E5" s="10"/>
    </row>
    <row r="6" spans="1:5" ht="14.25" customHeight="1" x14ac:dyDescent="0.25">
      <c r="A6" s="6" t="s">
        <v>15</v>
      </c>
      <c r="B6" s="8" t="s">
        <v>16</v>
      </c>
      <c r="C6" s="8" t="s">
        <v>17</v>
      </c>
      <c r="D6" s="9">
        <v>1500</v>
      </c>
      <c r="E6" s="10"/>
    </row>
    <row r="7" spans="1:5" ht="14.25" customHeight="1" x14ac:dyDescent="0.25">
      <c r="A7" s="6" t="s">
        <v>18</v>
      </c>
      <c r="B7" s="8" t="s">
        <v>19</v>
      </c>
      <c r="C7" s="8" t="s">
        <v>20</v>
      </c>
      <c r="D7" s="9">
        <v>1500</v>
      </c>
      <c r="E7" s="10"/>
    </row>
    <row r="8" spans="1:5" ht="14.25" customHeight="1" x14ac:dyDescent="0.25">
      <c r="A8" s="6" t="s">
        <v>22</v>
      </c>
      <c r="B8" s="8" t="s">
        <v>23</v>
      </c>
      <c r="C8" s="8" t="s">
        <v>24</v>
      </c>
      <c r="D8" s="9">
        <v>1500</v>
      </c>
      <c r="E8" s="10"/>
    </row>
    <row r="9" spans="1:5" ht="14.25" customHeight="1" x14ac:dyDescent="0.25">
      <c r="A9" s="6" t="s">
        <v>27</v>
      </c>
      <c r="B9" s="8" t="s">
        <v>28</v>
      </c>
      <c r="C9" s="8" t="s">
        <v>29</v>
      </c>
      <c r="D9" s="9">
        <v>1500</v>
      </c>
      <c r="E9" s="10"/>
    </row>
    <row r="10" spans="1:5" ht="14.25" customHeight="1" x14ac:dyDescent="0.25">
      <c r="A10" s="6" t="s">
        <v>31</v>
      </c>
      <c r="B10" s="8" t="s">
        <v>32</v>
      </c>
      <c r="C10" s="8" t="s">
        <v>34</v>
      </c>
      <c r="D10" s="9">
        <v>1500</v>
      </c>
      <c r="E10" s="10"/>
    </row>
    <row r="11" spans="1:5" ht="14.25" customHeight="1" x14ac:dyDescent="0.25">
      <c r="A11" s="6" t="s">
        <v>36</v>
      </c>
      <c r="B11" s="8" t="s">
        <v>37</v>
      </c>
      <c r="C11" s="8" t="s">
        <v>39</v>
      </c>
      <c r="D11" s="9">
        <v>600</v>
      </c>
      <c r="E11" s="10"/>
    </row>
    <row r="12" spans="1:5" ht="14.25" customHeight="1" x14ac:dyDescent="0.25">
      <c r="A12" s="6" t="s">
        <v>40</v>
      </c>
      <c r="B12" s="8" t="s">
        <v>41</v>
      </c>
      <c r="C12" s="8" t="s">
        <v>42</v>
      </c>
      <c r="D12" s="9">
        <v>600</v>
      </c>
      <c r="E12" s="10"/>
    </row>
    <row r="13" spans="1:5" ht="14.25" customHeight="1" x14ac:dyDescent="0.25">
      <c r="A13" s="6" t="s">
        <v>43</v>
      </c>
      <c r="B13" s="8" t="s">
        <v>44</v>
      </c>
      <c r="C13" s="8" t="s">
        <v>45</v>
      </c>
      <c r="D13" s="9">
        <v>600</v>
      </c>
      <c r="E13" s="10"/>
    </row>
    <row r="14" spans="1:5" ht="14.25" customHeight="1" x14ac:dyDescent="0.25">
      <c r="A14" s="6" t="s">
        <v>47</v>
      </c>
      <c r="B14" s="8" t="s">
        <v>49</v>
      </c>
      <c r="C14" s="8" t="s">
        <v>50</v>
      </c>
      <c r="D14" s="9">
        <v>600</v>
      </c>
      <c r="E14" s="10"/>
    </row>
    <row r="15" spans="1:5" ht="14.25" customHeight="1" x14ac:dyDescent="0.25">
      <c r="A15" s="6" t="s">
        <v>53</v>
      </c>
      <c r="B15" s="8" t="s">
        <v>54</v>
      </c>
      <c r="C15" s="8" t="s">
        <v>56</v>
      </c>
      <c r="D15" s="9">
        <v>600</v>
      </c>
      <c r="E15" s="10"/>
    </row>
    <row r="16" spans="1:5" ht="14.25" customHeight="1" x14ac:dyDescent="0.25">
      <c r="A16" s="6" t="s">
        <v>60</v>
      </c>
      <c r="B16" s="8" t="s">
        <v>61</v>
      </c>
      <c r="C16" s="8" t="s">
        <v>62</v>
      </c>
      <c r="D16" s="9">
        <v>600</v>
      </c>
      <c r="E16" s="10"/>
    </row>
    <row r="17" spans="1:5" ht="14.25" customHeight="1" x14ac:dyDescent="0.25">
      <c r="A17" s="6" t="s">
        <v>63</v>
      </c>
      <c r="B17" s="8" t="s">
        <v>64</v>
      </c>
      <c r="C17" s="8" t="s">
        <v>65</v>
      </c>
      <c r="D17" s="9">
        <v>600</v>
      </c>
      <c r="E17" s="10"/>
    </row>
    <row r="18" spans="1:5" ht="14.25" customHeight="1" x14ac:dyDescent="0.25">
      <c r="A18" s="6" t="s">
        <v>66</v>
      </c>
      <c r="B18" s="8" t="s">
        <v>67</v>
      </c>
      <c r="C18" s="8" t="s">
        <v>68</v>
      </c>
      <c r="D18" s="9">
        <v>600</v>
      </c>
      <c r="E18" s="10"/>
    </row>
    <row r="19" spans="1:5" ht="14.25" customHeight="1" x14ac:dyDescent="0.25">
      <c r="A19" s="6" t="s">
        <v>69</v>
      </c>
      <c r="B19" s="8" t="s">
        <v>70</v>
      </c>
      <c r="C19" s="8" t="s">
        <v>71</v>
      </c>
      <c r="D19" s="9">
        <v>9000</v>
      </c>
      <c r="E19" s="10"/>
    </row>
    <row r="20" spans="1:5" ht="14.25" customHeight="1" x14ac:dyDescent="0.25">
      <c r="A20" s="6" t="s">
        <v>72</v>
      </c>
      <c r="B20" s="8" t="s">
        <v>73</v>
      </c>
      <c r="C20" s="8" t="s">
        <v>74</v>
      </c>
      <c r="D20" s="9">
        <v>9000</v>
      </c>
      <c r="E20" s="10"/>
    </row>
    <row r="21" spans="1:5" ht="14.25" customHeight="1" x14ac:dyDescent="0.25">
      <c r="A21" s="6" t="s">
        <v>75</v>
      </c>
      <c r="B21" s="48" t="s">
        <v>76</v>
      </c>
      <c r="C21" s="48" t="s">
        <v>77</v>
      </c>
      <c r="D21" s="9">
        <v>9000</v>
      </c>
      <c r="E21" s="10"/>
    </row>
    <row r="22" spans="1:5" ht="14.25" customHeight="1" x14ac:dyDescent="0.25">
      <c r="A22" s="6" t="s">
        <v>78</v>
      </c>
      <c r="B22" s="48" t="s">
        <v>79</v>
      </c>
      <c r="C22" s="48" t="s">
        <v>80</v>
      </c>
      <c r="D22" s="9">
        <v>9000</v>
      </c>
      <c r="E22" s="10"/>
    </row>
    <row r="23" spans="1:5" ht="14.25" customHeight="1" x14ac:dyDescent="0.25">
      <c r="A23" s="6" t="s">
        <v>81</v>
      </c>
      <c r="B23" s="8" t="s">
        <v>82</v>
      </c>
      <c r="C23" s="8" t="s">
        <v>83</v>
      </c>
      <c r="D23" s="9">
        <v>2000</v>
      </c>
      <c r="E23" s="10"/>
    </row>
    <row r="24" spans="1:5" ht="14.25" customHeight="1" x14ac:dyDescent="0.25">
      <c r="A24" s="6" t="s">
        <v>84</v>
      </c>
      <c r="B24" s="8" t="s">
        <v>85</v>
      </c>
      <c r="C24" s="8" t="s">
        <v>86</v>
      </c>
      <c r="D24" s="9">
        <v>2000</v>
      </c>
      <c r="E24" s="10"/>
    </row>
    <row r="25" spans="1:5" ht="14.25" customHeight="1" x14ac:dyDescent="0.25">
      <c r="A25" s="6" t="s">
        <v>87</v>
      </c>
      <c r="B25" s="8" t="s">
        <v>89</v>
      </c>
      <c r="C25" s="8" t="s">
        <v>90</v>
      </c>
      <c r="D25" s="9">
        <v>2000</v>
      </c>
      <c r="E25" s="10"/>
    </row>
    <row r="26" spans="1:5" ht="14.25" customHeight="1" x14ac:dyDescent="0.25">
      <c r="A26" s="6" t="s">
        <v>91</v>
      </c>
      <c r="B26" s="8" t="s">
        <v>92</v>
      </c>
      <c r="C26" s="8" t="s">
        <v>93</v>
      </c>
      <c r="D26" s="9">
        <v>2000</v>
      </c>
      <c r="E26" s="10"/>
    </row>
    <row r="27" spans="1:5" ht="14.25" customHeight="1" x14ac:dyDescent="0.25">
      <c r="A27" s="6" t="s">
        <v>94</v>
      </c>
      <c r="B27" s="8" t="s">
        <v>95</v>
      </c>
      <c r="C27" s="8" t="s">
        <v>96</v>
      </c>
      <c r="D27" s="9">
        <v>1000</v>
      </c>
      <c r="E27" s="10"/>
    </row>
    <row r="28" spans="1:5" ht="14.25" customHeight="1" x14ac:dyDescent="0.25">
      <c r="A28" s="6" t="s">
        <v>97</v>
      </c>
      <c r="B28" s="8" t="s">
        <v>98</v>
      </c>
      <c r="C28" s="8" t="s">
        <v>99</v>
      </c>
      <c r="D28" s="9">
        <v>1000</v>
      </c>
      <c r="E28" s="10"/>
    </row>
    <row r="29" spans="1:5" ht="14.25" customHeight="1" x14ac:dyDescent="0.25">
      <c r="A29" s="6" t="s">
        <v>100</v>
      </c>
      <c r="B29" s="8" t="s">
        <v>101</v>
      </c>
      <c r="C29" s="8" t="s">
        <v>102</v>
      </c>
      <c r="D29" s="9">
        <v>1000</v>
      </c>
      <c r="E29" s="10"/>
    </row>
    <row r="30" spans="1:5" ht="14.25" customHeight="1" x14ac:dyDescent="0.25">
      <c r="A30" s="6" t="s">
        <v>103</v>
      </c>
      <c r="B30" s="8" t="s">
        <v>104</v>
      </c>
      <c r="C30" s="8" t="s">
        <v>105</v>
      </c>
      <c r="D30" s="9">
        <v>1000</v>
      </c>
      <c r="E30" s="10"/>
    </row>
    <row r="31" spans="1:5" ht="14.25" customHeight="1" x14ac:dyDescent="0.25">
      <c r="A31" s="6" t="s">
        <v>106</v>
      </c>
      <c r="B31" s="8" t="s">
        <v>107</v>
      </c>
      <c r="C31" s="8" t="s">
        <v>108</v>
      </c>
      <c r="D31" s="9">
        <v>4000</v>
      </c>
      <c r="E31" s="10"/>
    </row>
    <row r="32" spans="1:5" ht="14.25" customHeight="1" x14ac:dyDescent="0.25">
      <c r="A32" s="6" t="s">
        <v>109</v>
      </c>
      <c r="B32" s="8" t="s">
        <v>110</v>
      </c>
      <c r="C32" s="8" t="s">
        <v>111</v>
      </c>
      <c r="D32" s="9">
        <v>4000</v>
      </c>
      <c r="E32" s="10"/>
    </row>
    <row r="33" spans="1:5" ht="14.25" customHeight="1" x14ac:dyDescent="0.25">
      <c r="A33" s="6" t="s">
        <v>112</v>
      </c>
      <c r="B33" s="8" t="s">
        <v>113</v>
      </c>
      <c r="C33" s="8" t="s">
        <v>114</v>
      </c>
      <c r="D33" s="9">
        <v>4000</v>
      </c>
      <c r="E33" s="10"/>
    </row>
    <row r="34" spans="1:5" ht="14.25" customHeight="1" x14ac:dyDescent="0.25">
      <c r="A34" s="6" t="s">
        <v>115</v>
      </c>
      <c r="B34" s="8" t="s">
        <v>116</v>
      </c>
      <c r="C34" s="8" t="s">
        <v>117</v>
      </c>
      <c r="D34" s="9">
        <v>4000</v>
      </c>
      <c r="E34" s="10"/>
    </row>
    <row r="35" spans="1:5" ht="14.25" customHeight="1" x14ac:dyDescent="0.25">
      <c r="A35" s="6" t="s">
        <v>118</v>
      </c>
      <c r="B35" s="8" t="s">
        <v>119</v>
      </c>
      <c r="C35" s="8" t="s">
        <v>120</v>
      </c>
      <c r="D35" s="9">
        <v>4000</v>
      </c>
      <c r="E35" s="10"/>
    </row>
    <row r="36" spans="1:5" ht="14.25" customHeight="1" x14ac:dyDescent="0.25">
      <c r="A36" s="6" t="s">
        <v>121</v>
      </c>
      <c r="B36" s="8" t="s">
        <v>122</v>
      </c>
      <c r="C36" s="8" t="s">
        <v>123</v>
      </c>
      <c r="D36" s="9">
        <v>4000</v>
      </c>
      <c r="E36" s="10"/>
    </row>
    <row r="37" spans="1:5" ht="14.25" customHeight="1" x14ac:dyDescent="0.25">
      <c r="A37" s="6" t="s">
        <v>124</v>
      </c>
      <c r="B37" s="8" t="s">
        <v>125</v>
      </c>
      <c r="C37" s="8" t="s">
        <v>126</v>
      </c>
      <c r="D37" s="9">
        <v>4000</v>
      </c>
      <c r="E37" s="10"/>
    </row>
    <row r="38" spans="1:5" ht="14.25" customHeight="1" x14ac:dyDescent="0.25">
      <c r="A38" s="6" t="s">
        <v>127</v>
      </c>
      <c r="B38" s="8" t="s">
        <v>128</v>
      </c>
      <c r="C38" s="8" t="s">
        <v>129</v>
      </c>
      <c r="D38" s="9">
        <v>4000</v>
      </c>
      <c r="E38" s="10"/>
    </row>
    <row r="39" spans="1:5" ht="14.25" customHeight="1" x14ac:dyDescent="0.25">
      <c r="A39" s="6" t="s">
        <v>130</v>
      </c>
      <c r="B39" s="8" t="s">
        <v>131</v>
      </c>
      <c r="C39" s="8" t="s">
        <v>132</v>
      </c>
      <c r="D39" s="9">
        <v>9000</v>
      </c>
      <c r="E39" s="10"/>
    </row>
    <row r="40" spans="1:5" ht="14.25" customHeight="1" x14ac:dyDescent="0.25">
      <c r="A40" s="6" t="s">
        <v>133</v>
      </c>
      <c r="B40" s="8" t="s">
        <v>134</v>
      </c>
      <c r="C40" s="8" t="s">
        <v>135</v>
      </c>
      <c r="D40" s="9">
        <v>9000</v>
      </c>
      <c r="E40" s="10"/>
    </row>
    <row r="41" spans="1:5" ht="14.25" customHeight="1" x14ac:dyDescent="0.25">
      <c r="A41" s="6" t="s">
        <v>136</v>
      </c>
      <c r="B41" s="8" t="s">
        <v>137</v>
      </c>
      <c r="C41" s="8" t="s">
        <v>138</v>
      </c>
      <c r="D41" s="9">
        <v>9000</v>
      </c>
      <c r="E41" s="10"/>
    </row>
    <row r="42" spans="1:5" ht="14.25" customHeight="1" x14ac:dyDescent="0.25">
      <c r="A42" s="6" t="s">
        <v>139</v>
      </c>
      <c r="B42" s="8" t="s">
        <v>140</v>
      </c>
      <c r="C42" s="8" t="s">
        <v>141</v>
      </c>
      <c r="D42" s="9">
        <v>9000</v>
      </c>
      <c r="E42" s="10"/>
    </row>
    <row r="43" spans="1:5" ht="14.25" customHeight="1" x14ac:dyDescent="0.25">
      <c r="A43" s="6" t="s">
        <v>142</v>
      </c>
      <c r="B43" s="8" t="s">
        <v>143</v>
      </c>
      <c r="C43" s="8" t="s">
        <v>144</v>
      </c>
      <c r="D43" s="9">
        <v>4500</v>
      </c>
      <c r="E43" s="10"/>
    </row>
    <row r="44" spans="1:5" ht="14.25" customHeight="1" x14ac:dyDescent="0.25">
      <c r="A44" s="6" t="s">
        <v>145</v>
      </c>
      <c r="B44" s="8" t="s">
        <v>146</v>
      </c>
      <c r="C44" s="8" t="s">
        <v>147</v>
      </c>
      <c r="D44" s="9">
        <v>4500</v>
      </c>
      <c r="E44" s="10"/>
    </row>
    <row r="45" spans="1:5" ht="14.25" customHeight="1" x14ac:dyDescent="0.25">
      <c r="A45" s="6" t="s">
        <v>148</v>
      </c>
      <c r="B45" s="8" t="s">
        <v>149</v>
      </c>
      <c r="C45" s="8" t="s">
        <v>150</v>
      </c>
      <c r="D45" s="9">
        <v>4500</v>
      </c>
      <c r="E45" s="10"/>
    </row>
    <row r="46" spans="1:5" ht="14.25" customHeight="1" x14ac:dyDescent="0.25">
      <c r="A46" s="6" t="s">
        <v>151</v>
      </c>
      <c r="B46" s="8" t="s">
        <v>152</v>
      </c>
      <c r="C46" s="8" t="s">
        <v>153</v>
      </c>
      <c r="D46" s="9">
        <v>4500</v>
      </c>
      <c r="E46" s="10"/>
    </row>
    <row r="47" spans="1:5" ht="14.25" customHeight="1" x14ac:dyDescent="0.25">
      <c r="A47" s="6" t="s">
        <v>154</v>
      </c>
      <c r="B47" s="54" t="s">
        <v>155</v>
      </c>
      <c r="C47" s="54" t="s">
        <v>156</v>
      </c>
      <c r="D47" s="9">
        <v>4500</v>
      </c>
      <c r="E47" s="10"/>
    </row>
    <row r="48" spans="1:5" ht="14.25" customHeight="1" x14ac:dyDescent="0.25">
      <c r="A48" s="6" t="s">
        <v>157</v>
      </c>
      <c r="B48" s="8" t="s">
        <v>158</v>
      </c>
      <c r="C48" s="8" t="s">
        <v>159</v>
      </c>
      <c r="D48" s="9">
        <v>4500</v>
      </c>
      <c r="E48" s="10"/>
    </row>
    <row r="49" spans="1:5" ht="14.25" customHeight="1" x14ac:dyDescent="0.25">
      <c r="A49" s="6" t="s">
        <v>160</v>
      </c>
      <c r="B49" s="8" t="s">
        <v>161</v>
      </c>
      <c r="C49" s="8" t="s">
        <v>162</v>
      </c>
      <c r="D49" s="9">
        <v>1500</v>
      </c>
      <c r="E49" s="10"/>
    </row>
    <row r="50" spans="1:5" ht="14.25" customHeight="1" x14ac:dyDescent="0.25">
      <c r="A50" s="6" t="s">
        <v>163</v>
      </c>
      <c r="B50" s="8" t="s">
        <v>164</v>
      </c>
      <c r="C50" s="8" t="s">
        <v>165</v>
      </c>
      <c r="D50" s="9">
        <v>1500</v>
      </c>
      <c r="E50" s="10"/>
    </row>
    <row r="51" spans="1:5" ht="14.25" customHeight="1" x14ac:dyDescent="0.25">
      <c r="A51" s="6" t="s">
        <v>166</v>
      </c>
      <c r="B51" s="8" t="s">
        <v>167</v>
      </c>
      <c r="C51" s="8" t="s">
        <v>168</v>
      </c>
      <c r="D51" s="9">
        <v>1500</v>
      </c>
      <c r="E51" s="10"/>
    </row>
    <row r="52" spans="1:5" ht="14.25" customHeight="1" x14ac:dyDescent="0.25">
      <c r="A52" s="6" t="s">
        <v>169</v>
      </c>
      <c r="B52" s="8" t="s">
        <v>170</v>
      </c>
      <c r="C52" s="8" t="s">
        <v>171</v>
      </c>
      <c r="D52" s="9">
        <v>1500</v>
      </c>
      <c r="E52" s="10"/>
    </row>
    <row r="53" spans="1:5" ht="15" customHeight="1" x14ac:dyDescent="0.25">
      <c r="A53" s="6" t="s">
        <v>172</v>
      </c>
      <c r="B53" s="8" t="s">
        <v>173</v>
      </c>
      <c r="C53" s="8" t="s">
        <v>174</v>
      </c>
      <c r="D53" s="9">
        <v>1500</v>
      </c>
      <c r="E53" s="10"/>
    </row>
    <row r="54" spans="1:5" ht="15" customHeight="1" x14ac:dyDescent="0.25">
      <c r="A54" s="6" t="s">
        <v>175</v>
      </c>
      <c r="B54" s="8" t="s">
        <v>176</v>
      </c>
      <c r="C54" s="8" t="s">
        <v>177</v>
      </c>
      <c r="D54" s="9">
        <v>1500</v>
      </c>
      <c r="E54" s="10"/>
    </row>
    <row r="55" spans="1:5" ht="14.25" customHeight="1" x14ac:dyDescent="0.25">
      <c r="A55" s="6" t="s">
        <v>178</v>
      </c>
      <c r="B55" s="8" t="s">
        <v>179</v>
      </c>
      <c r="C55" s="8" t="s">
        <v>180</v>
      </c>
      <c r="D55" s="9">
        <v>600</v>
      </c>
      <c r="E55" s="10"/>
    </row>
    <row r="56" spans="1:5" ht="14.25" customHeight="1" x14ac:dyDescent="0.25">
      <c r="A56" s="6" t="s">
        <v>181</v>
      </c>
      <c r="B56" s="8" t="s">
        <v>182</v>
      </c>
      <c r="C56" s="8" t="s">
        <v>183</v>
      </c>
      <c r="D56" s="9">
        <v>600</v>
      </c>
      <c r="E56" s="10"/>
    </row>
    <row r="57" spans="1:5" ht="14.25" customHeight="1" x14ac:dyDescent="0.25">
      <c r="A57" s="6" t="s">
        <v>184</v>
      </c>
      <c r="B57" s="8" t="s">
        <v>185</v>
      </c>
      <c r="C57" s="8" t="s">
        <v>186</v>
      </c>
      <c r="D57" s="9">
        <v>600</v>
      </c>
      <c r="E57" s="10"/>
    </row>
    <row r="58" spans="1:5" ht="14.25" customHeight="1" x14ac:dyDescent="0.25">
      <c r="A58" s="6" t="s">
        <v>187</v>
      </c>
      <c r="B58" s="8" t="s">
        <v>188</v>
      </c>
      <c r="C58" s="8" t="s">
        <v>189</v>
      </c>
      <c r="D58" s="9">
        <v>600</v>
      </c>
      <c r="E58" s="10"/>
    </row>
    <row r="59" spans="1:5" ht="14.25" customHeight="1" x14ac:dyDescent="0.25">
      <c r="A59" s="6" t="s">
        <v>190</v>
      </c>
      <c r="B59" s="8" t="s">
        <v>191</v>
      </c>
      <c r="C59" s="8" t="s">
        <v>192</v>
      </c>
      <c r="D59" s="9">
        <v>5000</v>
      </c>
      <c r="E59" s="10"/>
    </row>
    <row r="60" spans="1:5" ht="14.25" customHeight="1" x14ac:dyDescent="0.25">
      <c r="A60" s="6" t="s">
        <v>193</v>
      </c>
      <c r="B60" s="8" t="s">
        <v>194</v>
      </c>
      <c r="C60" s="8" t="s">
        <v>195</v>
      </c>
      <c r="D60" s="9">
        <v>5000</v>
      </c>
      <c r="E60" s="10"/>
    </row>
    <row r="61" spans="1:5" ht="14.25" customHeight="1" x14ac:dyDescent="0.25">
      <c r="A61" s="6" t="s">
        <v>196</v>
      </c>
      <c r="B61" s="8" t="s">
        <v>197</v>
      </c>
      <c r="C61" s="8" t="s">
        <v>198</v>
      </c>
      <c r="D61" s="9">
        <v>5000</v>
      </c>
      <c r="E61" s="10"/>
    </row>
    <row r="62" spans="1:5" ht="14.25" customHeight="1" x14ac:dyDescent="0.25">
      <c r="A62" s="6" t="s">
        <v>200</v>
      </c>
      <c r="B62" s="8" t="s">
        <v>201</v>
      </c>
      <c r="C62" s="8" t="s">
        <v>202</v>
      </c>
      <c r="D62" s="9">
        <v>5000</v>
      </c>
      <c r="E62" s="10"/>
    </row>
    <row r="63" spans="1:5" ht="14.25" customHeight="1" x14ac:dyDescent="0.25">
      <c r="A63" s="6" t="s">
        <v>203</v>
      </c>
      <c r="B63" s="55" t="s">
        <v>204</v>
      </c>
      <c r="C63" s="56" t="s">
        <v>205</v>
      </c>
      <c r="D63" s="9">
        <v>5000</v>
      </c>
      <c r="E63" s="10"/>
    </row>
    <row r="64" spans="1:5" ht="14.25" customHeight="1" x14ac:dyDescent="0.25">
      <c r="A64" s="6" t="s">
        <v>206</v>
      </c>
      <c r="B64" s="55" t="s">
        <v>207</v>
      </c>
      <c r="C64" s="56" t="s">
        <v>208</v>
      </c>
      <c r="D64" s="9">
        <v>5000</v>
      </c>
      <c r="E64" s="10"/>
    </row>
    <row r="65" spans="1:5" ht="14.25" customHeight="1" x14ac:dyDescent="0.25">
      <c r="A65" s="6" t="s">
        <v>209</v>
      </c>
      <c r="B65" s="8" t="s">
        <v>210</v>
      </c>
      <c r="C65" s="8" t="s">
        <v>211</v>
      </c>
      <c r="D65" s="9">
        <v>2000</v>
      </c>
      <c r="E65" s="10"/>
    </row>
    <row r="66" spans="1:5" ht="14.25" customHeight="1" x14ac:dyDescent="0.25">
      <c r="A66" s="6" t="s">
        <v>212</v>
      </c>
      <c r="B66" s="8" t="s">
        <v>213</v>
      </c>
      <c r="C66" s="8" t="s">
        <v>214</v>
      </c>
      <c r="D66" s="9">
        <v>2000</v>
      </c>
      <c r="E66" s="10"/>
    </row>
    <row r="67" spans="1:5" ht="14.25" customHeight="1" x14ac:dyDescent="0.25">
      <c r="A67" s="6" t="s">
        <v>215</v>
      </c>
      <c r="B67" s="8" t="s">
        <v>216</v>
      </c>
      <c r="C67" s="8" t="s">
        <v>217</v>
      </c>
      <c r="D67" s="9">
        <v>2000</v>
      </c>
      <c r="E67" s="10"/>
    </row>
    <row r="68" spans="1:5" ht="14.25" customHeight="1" x14ac:dyDescent="0.25">
      <c r="A68" s="6" t="s">
        <v>219</v>
      </c>
      <c r="B68" s="8" t="s">
        <v>220</v>
      </c>
      <c r="C68" s="8" t="s">
        <v>221</v>
      </c>
      <c r="D68" s="9">
        <v>2000</v>
      </c>
      <c r="E68" s="10"/>
    </row>
    <row r="69" spans="1:5" ht="15" customHeight="1" x14ac:dyDescent="0.25">
      <c r="A69" s="6" t="s">
        <v>222</v>
      </c>
      <c r="B69" s="8" t="s">
        <v>223</v>
      </c>
      <c r="C69" s="8" t="s">
        <v>224</v>
      </c>
      <c r="D69" s="9">
        <v>1200</v>
      </c>
      <c r="E69" s="10"/>
    </row>
    <row r="70" spans="1:5" ht="15" customHeight="1" x14ac:dyDescent="0.25">
      <c r="A70" s="6" t="s">
        <v>225</v>
      </c>
      <c r="B70" s="8" t="s">
        <v>226</v>
      </c>
      <c r="C70" s="8" t="s">
        <v>227</v>
      </c>
      <c r="D70" s="9">
        <v>1200</v>
      </c>
      <c r="E70" s="10"/>
    </row>
    <row r="71" spans="1:5" ht="14.25" customHeight="1" x14ac:dyDescent="0.25">
      <c r="A71" s="6" t="s">
        <v>228</v>
      </c>
      <c r="B71" s="8" t="s">
        <v>229</v>
      </c>
      <c r="C71" s="8" t="s">
        <v>230</v>
      </c>
      <c r="D71" s="9">
        <v>1200</v>
      </c>
      <c r="E71" s="10"/>
    </row>
    <row r="72" spans="1:5" ht="14.25" customHeight="1" x14ac:dyDescent="0.25">
      <c r="A72" s="6" t="s">
        <v>231</v>
      </c>
      <c r="B72" s="8" t="s">
        <v>232</v>
      </c>
      <c r="C72" s="8" t="s">
        <v>233</v>
      </c>
      <c r="D72" s="9">
        <v>1200</v>
      </c>
      <c r="E72" s="10"/>
    </row>
    <row r="73" spans="1:5" ht="14.25" customHeight="1" x14ac:dyDescent="0.25">
      <c r="A73" s="6" t="s">
        <v>234</v>
      </c>
      <c r="B73" s="8" t="s">
        <v>235</v>
      </c>
      <c r="C73" s="8" t="s">
        <v>236</v>
      </c>
      <c r="D73" s="9">
        <v>1200</v>
      </c>
      <c r="E73" s="10"/>
    </row>
    <row r="74" spans="1:5" ht="14.25" customHeight="1" x14ac:dyDescent="0.25">
      <c r="A74" s="6" t="s">
        <v>237</v>
      </c>
      <c r="B74" s="8" t="s">
        <v>238</v>
      </c>
      <c r="C74" s="8" t="s">
        <v>239</v>
      </c>
      <c r="D74" s="9">
        <v>4000</v>
      </c>
      <c r="E74" s="10"/>
    </row>
    <row r="75" spans="1:5" ht="14.25" customHeight="1" x14ac:dyDescent="0.25">
      <c r="A75" s="6" t="s">
        <v>240</v>
      </c>
      <c r="B75" s="8" t="s">
        <v>241</v>
      </c>
      <c r="C75" s="8" t="s">
        <v>242</v>
      </c>
      <c r="D75" s="9">
        <v>4000</v>
      </c>
      <c r="E75" s="10"/>
    </row>
    <row r="76" spans="1:5" ht="14.25" customHeight="1" x14ac:dyDescent="0.25">
      <c r="A76" s="6" t="s">
        <v>243</v>
      </c>
      <c r="B76" s="8" t="s">
        <v>244</v>
      </c>
      <c r="C76" s="8" t="s">
        <v>245</v>
      </c>
      <c r="D76" s="9">
        <v>4000</v>
      </c>
      <c r="E76" s="10"/>
    </row>
    <row r="77" spans="1:5" ht="14.25" customHeight="1" x14ac:dyDescent="0.25">
      <c r="A77" s="6" t="s">
        <v>246</v>
      </c>
      <c r="B77" s="8" t="s">
        <v>247</v>
      </c>
      <c r="C77" s="8" t="s">
        <v>248</v>
      </c>
      <c r="D77" s="9">
        <v>4000</v>
      </c>
      <c r="E77" s="10"/>
    </row>
    <row r="78" spans="1:5" ht="14.25" customHeight="1" x14ac:dyDescent="0.25">
      <c r="A78" s="6" t="s">
        <v>249</v>
      </c>
      <c r="B78" s="8" t="s">
        <v>250</v>
      </c>
      <c r="C78" s="8" t="s">
        <v>251</v>
      </c>
      <c r="D78" s="9">
        <v>4000</v>
      </c>
      <c r="E78" s="10"/>
    </row>
    <row r="79" spans="1:5" ht="14.25" customHeight="1" x14ac:dyDescent="0.25">
      <c r="A79" s="6" t="s">
        <v>252</v>
      </c>
      <c r="B79" s="8" t="s">
        <v>253</v>
      </c>
      <c r="C79" s="8" t="s">
        <v>254</v>
      </c>
      <c r="D79" s="9">
        <v>4000</v>
      </c>
      <c r="E79" s="10"/>
    </row>
    <row r="80" spans="1:5" ht="14.25" customHeight="1" x14ac:dyDescent="0.25">
      <c r="A80" s="6" t="s">
        <v>255</v>
      </c>
      <c r="B80" s="8" t="s">
        <v>256</v>
      </c>
      <c r="C80" s="8" t="s">
        <v>257</v>
      </c>
      <c r="D80" s="9">
        <v>3000</v>
      </c>
      <c r="E80" s="10"/>
    </row>
    <row r="81" spans="1:5" ht="14.25" customHeight="1" x14ac:dyDescent="0.25">
      <c r="A81" s="6" t="s">
        <v>258</v>
      </c>
      <c r="B81" s="8" t="s">
        <v>259</v>
      </c>
      <c r="C81" s="8" t="s">
        <v>260</v>
      </c>
      <c r="D81" s="9">
        <v>3000</v>
      </c>
      <c r="E81" s="10"/>
    </row>
    <row r="82" spans="1:5" ht="14.25" customHeight="1" x14ac:dyDescent="0.25">
      <c r="A82" s="6" t="s">
        <v>261</v>
      </c>
      <c r="B82" s="8" t="s">
        <v>262</v>
      </c>
      <c r="C82" s="8" t="s">
        <v>263</v>
      </c>
      <c r="D82" s="9">
        <v>3000</v>
      </c>
      <c r="E82" s="10"/>
    </row>
    <row r="83" spans="1:5" ht="14.25" customHeight="1" x14ac:dyDescent="0.25">
      <c r="A83" s="6" t="s">
        <v>264</v>
      </c>
      <c r="B83" s="8" t="s">
        <v>265</v>
      </c>
      <c r="C83" s="8" t="s">
        <v>266</v>
      </c>
      <c r="D83" s="9">
        <v>3000</v>
      </c>
      <c r="E83" s="10"/>
    </row>
    <row r="84" spans="1:5" ht="14.25" customHeight="1" x14ac:dyDescent="0.25">
      <c r="A84" s="6" t="s">
        <v>267</v>
      </c>
      <c r="B84" s="8" t="s">
        <v>268</v>
      </c>
      <c r="C84" s="8" t="s">
        <v>269</v>
      </c>
      <c r="D84" s="9">
        <v>3000</v>
      </c>
      <c r="E84" s="10"/>
    </row>
    <row r="85" spans="1:5" ht="14.25" customHeight="1" x14ac:dyDescent="0.25">
      <c r="A85" s="6" t="s">
        <v>270</v>
      </c>
      <c r="B85" s="8" t="s">
        <v>271</v>
      </c>
      <c r="C85" s="8" t="s">
        <v>272</v>
      </c>
      <c r="D85" s="9">
        <v>3000</v>
      </c>
      <c r="E85" s="10"/>
    </row>
    <row r="86" spans="1:5" ht="14.25" customHeight="1" x14ac:dyDescent="0.25">
      <c r="A86" s="6" t="s">
        <v>273</v>
      </c>
      <c r="B86" s="8" t="s">
        <v>274</v>
      </c>
      <c r="C86" s="8" t="s">
        <v>275</v>
      </c>
      <c r="D86" s="9">
        <v>300</v>
      </c>
      <c r="E86" s="10"/>
    </row>
    <row r="87" spans="1:5" ht="14.25" customHeight="1" x14ac:dyDescent="0.25">
      <c r="A87" s="6" t="s">
        <v>276</v>
      </c>
      <c r="B87" s="8" t="s">
        <v>277</v>
      </c>
      <c r="C87" s="8" t="s">
        <v>278</v>
      </c>
      <c r="D87" s="9">
        <v>300</v>
      </c>
      <c r="E87" s="10"/>
    </row>
    <row r="88" spans="1:5" ht="14.25" customHeight="1" x14ac:dyDescent="0.25">
      <c r="A88" s="6" t="s">
        <v>279</v>
      </c>
      <c r="B88" s="8" t="s">
        <v>280</v>
      </c>
      <c r="C88" s="8" t="s">
        <v>281</v>
      </c>
      <c r="D88" s="9">
        <v>300</v>
      </c>
      <c r="E88" s="10"/>
    </row>
    <row r="89" spans="1:5" ht="14.25" customHeight="1" x14ac:dyDescent="0.25">
      <c r="A89" s="6" t="s">
        <v>282</v>
      </c>
      <c r="B89" s="8" t="s">
        <v>283</v>
      </c>
      <c r="C89" s="8" t="s">
        <v>284</v>
      </c>
      <c r="D89" s="9">
        <v>300</v>
      </c>
      <c r="E89" s="10"/>
    </row>
    <row r="90" spans="1:5" ht="14.25" customHeight="1" x14ac:dyDescent="0.25">
      <c r="A90" s="6" t="s">
        <v>285</v>
      </c>
      <c r="B90" s="8" t="s">
        <v>286</v>
      </c>
      <c r="C90" s="8" t="s">
        <v>287</v>
      </c>
      <c r="D90" s="9">
        <v>300</v>
      </c>
      <c r="E90" s="10"/>
    </row>
    <row r="91" spans="1:5" ht="14.25" customHeight="1" x14ac:dyDescent="0.25">
      <c r="A91" s="6" t="s">
        <v>288</v>
      </c>
      <c r="B91" s="8" t="s">
        <v>289</v>
      </c>
      <c r="C91" s="8" t="s">
        <v>290</v>
      </c>
      <c r="D91" s="9">
        <v>300</v>
      </c>
      <c r="E91" s="10"/>
    </row>
    <row r="92" spans="1:5" ht="15" customHeight="1" x14ac:dyDescent="0.25">
      <c r="A92" s="6" t="s">
        <v>291</v>
      </c>
      <c r="B92" s="8" t="s">
        <v>292</v>
      </c>
      <c r="C92" s="8" t="s">
        <v>293</v>
      </c>
      <c r="D92" s="9">
        <v>4000</v>
      </c>
      <c r="E92" s="10"/>
    </row>
    <row r="93" spans="1:5" ht="15" customHeight="1" x14ac:dyDescent="0.25">
      <c r="A93" s="6" t="s">
        <v>294</v>
      </c>
      <c r="B93" s="8" t="s">
        <v>295</v>
      </c>
      <c r="C93" s="8" t="s">
        <v>296</v>
      </c>
      <c r="D93" s="9">
        <v>4000</v>
      </c>
      <c r="E93" s="10"/>
    </row>
    <row r="94" spans="1:5" ht="15" customHeight="1" x14ac:dyDescent="0.25">
      <c r="A94" s="6" t="s">
        <v>297</v>
      </c>
      <c r="B94" s="8" t="s">
        <v>298</v>
      </c>
      <c r="C94" s="8" t="s">
        <v>300</v>
      </c>
      <c r="D94" s="9">
        <v>4000</v>
      </c>
      <c r="E94" s="10"/>
    </row>
    <row r="95" spans="1:5" ht="15" customHeight="1" x14ac:dyDescent="0.25">
      <c r="A95" s="6" t="s">
        <v>301</v>
      </c>
      <c r="B95" s="8" t="s">
        <v>302</v>
      </c>
      <c r="C95" s="8" t="s">
        <v>303</v>
      </c>
      <c r="D95" s="9">
        <v>4000</v>
      </c>
      <c r="E95" s="10"/>
    </row>
    <row r="96" spans="1:5" ht="15" customHeight="1" x14ac:dyDescent="0.25">
      <c r="A96" s="6" t="s">
        <v>304</v>
      </c>
      <c r="B96" s="8" t="s">
        <v>305</v>
      </c>
      <c r="C96" s="8" t="s">
        <v>306</v>
      </c>
      <c r="D96" s="9">
        <v>2500</v>
      </c>
      <c r="E96" s="10"/>
    </row>
    <row r="97" spans="1:5" ht="15" customHeight="1" x14ac:dyDescent="0.25">
      <c r="A97" s="6" t="s">
        <v>307</v>
      </c>
      <c r="B97" s="8" t="s">
        <v>308</v>
      </c>
      <c r="C97" s="8" t="s">
        <v>309</v>
      </c>
      <c r="D97" s="9">
        <v>2500</v>
      </c>
      <c r="E97" s="10"/>
    </row>
    <row r="98" spans="1:5" ht="15" customHeight="1" x14ac:dyDescent="0.25">
      <c r="A98" s="6" t="s">
        <v>310</v>
      </c>
      <c r="B98" s="8" t="s">
        <v>311</v>
      </c>
      <c r="C98" s="8" t="s">
        <v>312</v>
      </c>
      <c r="D98" s="9">
        <v>2500</v>
      </c>
      <c r="E98" s="10"/>
    </row>
    <row r="99" spans="1:5" ht="15" customHeight="1" x14ac:dyDescent="0.25">
      <c r="A99" s="6" t="s">
        <v>313</v>
      </c>
      <c r="B99" s="8" t="s">
        <v>314</v>
      </c>
      <c r="C99" s="8" t="s">
        <v>315</v>
      </c>
      <c r="D99" s="9">
        <v>2500</v>
      </c>
      <c r="E99" s="10"/>
    </row>
    <row r="100" spans="1:5" ht="15" customHeight="1" x14ac:dyDescent="0.25">
      <c r="A100" s="6" t="s">
        <v>316</v>
      </c>
      <c r="B100" s="8" t="s">
        <v>317</v>
      </c>
      <c r="C100" s="8" t="s">
        <v>318</v>
      </c>
      <c r="D100" s="9">
        <v>2500</v>
      </c>
      <c r="E100" s="10"/>
    </row>
    <row r="101" spans="1:5" ht="15" customHeight="1" x14ac:dyDescent="0.25">
      <c r="A101" s="6" t="s">
        <v>319</v>
      </c>
      <c r="B101" s="8" t="s">
        <v>320</v>
      </c>
      <c r="C101" s="8" t="s">
        <v>322</v>
      </c>
      <c r="D101" s="9">
        <v>2500</v>
      </c>
      <c r="E101" s="10"/>
    </row>
    <row r="102" spans="1:5" ht="15" customHeight="1" x14ac:dyDescent="0.25">
      <c r="A102" s="6" t="s">
        <v>323</v>
      </c>
      <c r="B102" s="8" t="s">
        <v>324</v>
      </c>
      <c r="C102" s="8" t="s">
        <v>325</v>
      </c>
      <c r="D102" s="9">
        <v>2000</v>
      </c>
      <c r="E102" s="10"/>
    </row>
    <row r="103" spans="1:5" ht="15" customHeight="1" x14ac:dyDescent="0.25">
      <c r="A103" s="6" t="s">
        <v>326</v>
      </c>
      <c r="B103" s="8" t="s">
        <v>327</v>
      </c>
      <c r="C103" s="8" t="s">
        <v>328</v>
      </c>
      <c r="D103" s="9">
        <v>2000</v>
      </c>
      <c r="E103" s="10"/>
    </row>
    <row r="104" spans="1:5" ht="15" customHeight="1" x14ac:dyDescent="0.25">
      <c r="A104" s="6" t="s">
        <v>329</v>
      </c>
      <c r="B104" s="8" t="s">
        <v>330</v>
      </c>
      <c r="C104" s="8" t="s">
        <v>331</v>
      </c>
      <c r="D104" s="9">
        <v>2000</v>
      </c>
      <c r="E104" s="10"/>
    </row>
    <row r="105" spans="1:5" ht="15" customHeight="1" x14ac:dyDescent="0.25">
      <c r="A105" s="6" t="s">
        <v>332</v>
      </c>
      <c r="B105" s="8" t="s">
        <v>333</v>
      </c>
      <c r="C105" s="8" t="s">
        <v>334</v>
      </c>
      <c r="D105" s="9">
        <v>2000</v>
      </c>
      <c r="E105" s="10"/>
    </row>
    <row r="106" spans="1:5" ht="15" customHeight="1" x14ac:dyDescent="0.25">
      <c r="A106" s="6" t="s">
        <v>335</v>
      </c>
      <c r="B106" s="8" t="s">
        <v>336</v>
      </c>
      <c r="C106" s="8" t="s">
        <v>337</v>
      </c>
      <c r="D106" s="9">
        <v>1500</v>
      </c>
      <c r="E106" s="10"/>
    </row>
    <row r="107" spans="1:5" ht="15" customHeight="1" x14ac:dyDescent="0.25">
      <c r="A107" s="6" t="s">
        <v>338</v>
      </c>
      <c r="B107" s="8" t="s">
        <v>339</v>
      </c>
      <c r="C107" s="8" t="s">
        <v>340</v>
      </c>
      <c r="D107" s="9">
        <v>1500</v>
      </c>
      <c r="E107" s="10"/>
    </row>
    <row r="108" spans="1:5" ht="15" customHeight="1" x14ac:dyDescent="0.25">
      <c r="A108" s="6" t="s">
        <v>341</v>
      </c>
      <c r="B108" s="8" t="s">
        <v>342</v>
      </c>
      <c r="C108" s="8" t="s">
        <v>343</v>
      </c>
      <c r="D108" s="9">
        <v>1500</v>
      </c>
      <c r="E108" s="10"/>
    </row>
    <row r="109" spans="1:5" ht="15" customHeight="1" x14ac:dyDescent="0.25">
      <c r="A109" s="6" t="s">
        <v>344</v>
      </c>
      <c r="B109" s="8" t="s">
        <v>345</v>
      </c>
      <c r="C109" s="8" t="s">
        <v>346</v>
      </c>
      <c r="D109" s="9">
        <v>1500</v>
      </c>
      <c r="E109" s="10"/>
    </row>
    <row r="110" spans="1:5" ht="15" customHeight="1" x14ac:dyDescent="0.25">
      <c r="A110" s="6" t="s">
        <v>347</v>
      </c>
      <c r="B110" s="8" t="s">
        <v>348</v>
      </c>
      <c r="C110" s="8" t="s">
        <v>349</v>
      </c>
      <c r="D110" s="9">
        <v>1500</v>
      </c>
      <c r="E110" s="10"/>
    </row>
    <row r="111" spans="1:5" ht="15" customHeight="1" x14ac:dyDescent="0.25">
      <c r="A111" s="6" t="s">
        <v>350</v>
      </c>
      <c r="B111" s="8" t="s">
        <v>351</v>
      </c>
      <c r="C111" s="8" t="s">
        <v>352</v>
      </c>
      <c r="D111" s="9">
        <v>1500</v>
      </c>
      <c r="E111" s="10"/>
    </row>
    <row r="112" spans="1:5" ht="14.25" customHeight="1" x14ac:dyDescent="0.25">
      <c r="A112" s="6" t="s">
        <v>353</v>
      </c>
      <c r="B112" s="8" t="s">
        <v>354</v>
      </c>
      <c r="C112" s="8" t="s">
        <v>355</v>
      </c>
      <c r="D112" s="9">
        <v>150</v>
      </c>
      <c r="E112" s="10"/>
    </row>
    <row r="113" spans="1:5" ht="14.25" customHeight="1" x14ac:dyDescent="0.25">
      <c r="A113" s="6" t="s">
        <v>356</v>
      </c>
      <c r="B113" s="8" t="s">
        <v>357</v>
      </c>
      <c r="C113" s="8" t="s">
        <v>358</v>
      </c>
      <c r="D113" s="9">
        <v>150</v>
      </c>
      <c r="E113" s="10"/>
    </row>
    <row r="114" spans="1:5" ht="14.25" customHeight="1" x14ac:dyDescent="0.25">
      <c r="A114" s="6" t="s">
        <v>359</v>
      </c>
      <c r="B114" s="8" t="s">
        <v>360</v>
      </c>
      <c r="C114" s="8" t="s">
        <v>361</v>
      </c>
      <c r="D114" s="9">
        <v>150</v>
      </c>
      <c r="E114" s="10"/>
    </row>
    <row r="115" spans="1:5" ht="14.25" customHeight="1" x14ac:dyDescent="0.25">
      <c r="A115" s="6" t="s">
        <v>362</v>
      </c>
      <c r="B115" s="8" t="s">
        <v>363</v>
      </c>
      <c r="C115" s="8" t="s">
        <v>364</v>
      </c>
      <c r="D115" s="9">
        <v>150</v>
      </c>
      <c r="E115" s="10"/>
    </row>
    <row r="116" spans="1:5" ht="14.25" customHeight="1" x14ac:dyDescent="0.25">
      <c r="A116" s="6" t="s">
        <v>365</v>
      </c>
      <c r="B116" s="8" t="s">
        <v>366</v>
      </c>
      <c r="C116" s="8" t="s">
        <v>367</v>
      </c>
      <c r="D116" s="9">
        <v>150</v>
      </c>
      <c r="E116" s="10"/>
    </row>
    <row r="117" spans="1:5" ht="14.25" customHeight="1" x14ac:dyDescent="0.25">
      <c r="A117" s="6" t="s">
        <v>368</v>
      </c>
      <c r="B117" s="8" t="s">
        <v>369</v>
      </c>
      <c r="C117" s="8" t="s">
        <v>370</v>
      </c>
      <c r="D117" s="9">
        <v>150</v>
      </c>
      <c r="E117" s="10"/>
    </row>
    <row r="118" spans="1:5" ht="15" customHeight="1" x14ac:dyDescent="0.25">
      <c r="A118" s="6" t="s">
        <v>371</v>
      </c>
      <c r="B118" s="8" t="s">
        <v>372</v>
      </c>
      <c r="C118" s="8" t="s">
        <v>373</v>
      </c>
      <c r="D118" s="9">
        <v>150</v>
      </c>
      <c r="E118" s="10"/>
    </row>
    <row r="119" spans="1:5" ht="15" customHeight="1" x14ac:dyDescent="0.25">
      <c r="A119" s="6" t="s">
        <v>374</v>
      </c>
      <c r="B119" s="8" t="s">
        <v>375</v>
      </c>
      <c r="C119" s="8" t="s">
        <v>376</v>
      </c>
      <c r="D119" s="9">
        <v>150</v>
      </c>
      <c r="E119" s="10"/>
    </row>
    <row r="120" spans="1:5" ht="14.25" customHeight="1" x14ac:dyDescent="0.25">
      <c r="A120" s="6" t="s">
        <v>377</v>
      </c>
      <c r="B120" s="8" t="s">
        <v>378</v>
      </c>
      <c r="C120" s="8" t="s">
        <v>379</v>
      </c>
      <c r="D120" s="9"/>
      <c r="E120" s="10"/>
    </row>
    <row r="121" spans="1:5" ht="14.25" customHeight="1" x14ac:dyDescent="0.25">
      <c r="A121" s="6" t="s">
        <v>380</v>
      </c>
      <c r="B121" s="8" t="s">
        <v>381</v>
      </c>
      <c r="C121" s="8" t="s">
        <v>382</v>
      </c>
      <c r="D121" s="9"/>
      <c r="E121" s="10"/>
    </row>
    <row r="122" spans="1:5" ht="14.25" customHeight="1" x14ac:dyDescent="0.25">
      <c r="A122" s="6" t="s">
        <v>384</v>
      </c>
      <c r="B122" s="8" t="s">
        <v>385</v>
      </c>
      <c r="C122" s="8" t="s">
        <v>386</v>
      </c>
      <c r="D122" s="9"/>
      <c r="E122" s="10"/>
    </row>
    <row r="123" spans="1:5" ht="14.25" customHeight="1" x14ac:dyDescent="0.25">
      <c r="A123" s="6" t="s">
        <v>387</v>
      </c>
      <c r="B123" s="8" t="s">
        <v>388</v>
      </c>
      <c r="C123" s="8" t="s">
        <v>389</v>
      </c>
      <c r="D123" s="9"/>
      <c r="E123" s="10"/>
    </row>
    <row r="124" spans="1:5" ht="14.25" customHeight="1" x14ac:dyDescent="0.25">
      <c r="A124" s="6" t="s">
        <v>390</v>
      </c>
      <c r="B124" s="8" t="s">
        <v>391</v>
      </c>
      <c r="C124" s="8" t="s">
        <v>392</v>
      </c>
      <c r="D124" s="9"/>
      <c r="E124" s="10"/>
    </row>
    <row r="125" spans="1:5" ht="14.25" customHeight="1" x14ac:dyDescent="0.25">
      <c r="A125" s="6" t="s">
        <v>393</v>
      </c>
      <c r="B125" s="8" t="s">
        <v>394</v>
      </c>
      <c r="C125" s="8" t="s">
        <v>395</v>
      </c>
      <c r="D125" s="9"/>
      <c r="E125" s="10"/>
    </row>
    <row r="126" spans="1:5" ht="14.25" customHeight="1" x14ac:dyDescent="0.25">
      <c r="A126" s="6" t="s">
        <v>396</v>
      </c>
      <c r="B126" s="57" t="s">
        <v>397</v>
      </c>
      <c r="C126" s="8" t="s">
        <v>398</v>
      </c>
      <c r="D126" s="9"/>
      <c r="E126" s="10"/>
    </row>
    <row r="127" spans="1:5" ht="14.25" customHeight="1" x14ac:dyDescent="0.25">
      <c r="A127" s="6" t="s">
        <v>399</v>
      </c>
      <c r="B127" s="57" t="s">
        <v>400</v>
      </c>
      <c r="C127" s="8" t="s">
        <v>401</v>
      </c>
      <c r="D127" s="9"/>
      <c r="E127" s="10"/>
    </row>
    <row r="128" spans="1:5" ht="14.25" customHeight="1" x14ac:dyDescent="0.25">
      <c r="A128" s="6" t="s">
        <v>403</v>
      </c>
      <c r="B128" s="57" t="s">
        <v>404</v>
      </c>
      <c r="C128" s="8" t="s">
        <v>405</v>
      </c>
      <c r="D128" s="9"/>
      <c r="E128" s="10"/>
    </row>
    <row r="129" spans="1:5" ht="14.25" customHeight="1" x14ac:dyDescent="0.25">
      <c r="A129" s="6" t="s">
        <v>406</v>
      </c>
      <c r="B129" s="57" t="s">
        <v>407</v>
      </c>
      <c r="C129" s="8" t="s">
        <v>408</v>
      </c>
      <c r="D129" s="9"/>
      <c r="E129" s="10"/>
    </row>
    <row r="130" spans="1:5" ht="14.25" customHeight="1" x14ac:dyDescent="0.25">
      <c r="A130" s="6" t="s">
        <v>409</v>
      </c>
      <c r="B130" s="57" t="s">
        <v>410</v>
      </c>
      <c r="C130" s="8" t="s">
        <v>411</v>
      </c>
      <c r="D130" s="9"/>
      <c r="E130" s="10"/>
    </row>
    <row r="131" spans="1:5" ht="14.25" customHeight="1" x14ac:dyDescent="0.25">
      <c r="A131" s="6" t="s">
        <v>412</v>
      </c>
      <c r="B131" s="57" t="s">
        <v>413</v>
      </c>
      <c r="C131" s="8" t="s">
        <v>414</v>
      </c>
      <c r="D131" s="9"/>
      <c r="E131" s="10"/>
    </row>
    <row r="132" spans="1:5" ht="14.25" customHeight="1" x14ac:dyDescent="0.25">
      <c r="A132" s="6" t="s">
        <v>415</v>
      </c>
      <c r="B132" s="57" t="s">
        <v>416</v>
      </c>
      <c r="C132" s="8" t="s">
        <v>417</v>
      </c>
      <c r="D132" s="9"/>
      <c r="E132" s="10"/>
    </row>
    <row r="133" spans="1:5" ht="14.25" customHeight="1" x14ac:dyDescent="0.25">
      <c r="A133" s="6" t="s">
        <v>418</v>
      </c>
      <c r="B133" s="57" t="s">
        <v>419</v>
      </c>
      <c r="C133" s="8" t="s">
        <v>420</v>
      </c>
      <c r="D133" s="9"/>
      <c r="E133" s="10"/>
    </row>
    <row r="134" spans="1:5" ht="14.25" customHeight="1" x14ac:dyDescent="0.25">
      <c r="A134" s="6" t="s">
        <v>421</v>
      </c>
      <c r="B134" s="57" t="s">
        <v>422</v>
      </c>
      <c r="C134" s="8" t="s">
        <v>423</v>
      </c>
      <c r="D134" s="9"/>
      <c r="E134" s="10"/>
    </row>
    <row r="135" spans="1:5" ht="14.25" customHeight="1" x14ac:dyDescent="0.25">
      <c r="A135" s="6" t="s">
        <v>424</v>
      </c>
      <c r="B135" s="57" t="s">
        <v>425</v>
      </c>
      <c r="C135" s="8" t="s">
        <v>426</v>
      </c>
      <c r="D135" s="9"/>
      <c r="E135" s="10"/>
    </row>
    <row r="136" spans="1:5" ht="14.25" customHeight="1" x14ac:dyDescent="0.25">
      <c r="A136" s="6" t="s">
        <v>427</v>
      </c>
      <c r="B136" s="8" t="s">
        <v>428</v>
      </c>
      <c r="C136" s="8" t="s">
        <v>429</v>
      </c>
      <c r="D136" s="9"/>
      <c r="E136" s="10"/>
    </row>
    <row r="137" spans="1:5" ht="14.25" customHeight="1" x14ac:dyDescent="0.25">
      <c r="A137" s="6" t="s">
        <v>430</v>
      </c>
      <c r="B137" s="8" t="s">
        <v>431</v>
      </c>
      <c r="C137" s="8" t="s">
        <v>432</v>
      </c>
      <c r="D137" s="9"/>
      <c r="E137" s="10"/>
    </row>
    <row r="138" spans="1:5" ht="14.25" customHeight="1" x14ac:dyDescent="0.25">
      <c r="A138" s="6" t="s">
        <v>433</v>
      </c>
      <c r="B138" s="8" t="s">
        <v>434</v>
      </c>
      <c r="C138" s="8" t="s">
        <v>435</v>
      </c>
      <c r="D138" s="9"/>
      <c r="E138" s="10"/>
    </row>
    <row r="139" spans="1:5" ht="14.25" customHeight="1" x14ac:dyDescent="0.25">
      <c r="A139" s="6" t="s">
        <v>436</v>
      </c>
      <c r="B139" s="8" t="s">
        <v>437</v>
      </c>
      <c r="C139" s="8" t="s">
        <v>438</v>
      </c>
      <c r="D139" s="9"/>
      <c r="E139" s="10"/>
    </row>
    <row r="140" spans="1:5" ht="14.25" customHeight="1" x14ac:dyDescent="0.25">
      <c r="A140" s="6" t="s">
        <v>439</v>
      </c>
      <c r="B140" s="8" t="s">
        <v>440</v>
      </c>
      <c r="C140" s="8" t="s">
        <v>441</v>
      </c>
      <c r="D140" s="9"/>
      <c r="E140" s="10"/>
    </row>
    <row r="141" spans="1:5" ht="14.25" customHeight="1" x14ac:dyDescent="0.25">
      <c r="A141" s="6" t="s">
        <v>442</v>
      </c>
      <c r="B141" s="8" t="s">
        <v>443</v>
      </c>
      <c r="C141" s="8" t="s">
        <v>444</v>
      </c>
      <c r="D141" s="9"/>
      <c r="E141" s="10"/>
    </row>
    <row r="142" spans="1:5" ht="14.25" customHeight="1" x14ac:dyDescent="0.25">
      <c r="A142" s="6" t="s">
        <v>445</v>
      </c>
      <c r="B142" s="8" t="s">
        <v>446</v>
      </c>
      <c r="C142" s="8" t="s">
        <v>447</v>
      </c>
      <c r="D142" s="9"/>
      <c r="E142" s="10"/>
    </row>
    <row r="143" spans="1:5" ht="14.25" customHeight="1" x14ac:dyDescent="0.25">
      <c r="A143" s="6" t="s">
        <v>448</v>
      </c>
      <c r="B143" s="57" t="s">
        <v>449</v>
      </c>
      <c r="C143" s="8" t="s">
        <v>450</v>
      </c>
      <c r="D143" s="9"/>
      <c r="E143" s="10"/>
    </row>
    <row r="144" spans="1:5" ht="14.25" customHeight="1" x14ac:dyDescent="0.25">
      <c r="A144" s="6" t="s">
        <v>451</v>
      </c>
      <c r="B144" s="57" t="s">
        <v>452</v>
      </c>
      <c r="C144" s="8" t="s">
        <v>453</v>
      </c>
      <c r="D144" s="9"/>
      <c r="E144" s="10"/>
    </row>
    <row r="145" spans="1:5" ht="14.25" customHeight="1" x14ac:dyDescent="0.25">
      <c r="A145" s="6" t="s">
        <v>454</v>
      </c>
      <c r="B145" s="57" t="s">
        <v>455</v>
      </c>
      <c r="C145" s="8" t="s">
        <v>456</v>
      </c>
      <c r="D145" s="9"/>
      <c r="E145" s="10"/>
    </row>
    <row r="146" spans="1:5" ht="14.25" customHeight="1" x14ac:dyDescent="0.25">
      <c r="A146" s="6" t="s">
        <v>457</v>
      </c>
      <c r="B146" s="57" t="s">
        <v>458</v>
      </c>
      <c r="C146" s="8" t="s">
        <v>459</v>
      </c>
      <c r="D146" s="9"/>
      <c r="E146" s="10"/>
    </row>
    <row r="147" spans="1:5" ht="14.25" customHeight="1" x14ac:dyDescent="0.25">
      <c r="A147" s="6" t="s">
        <v>460</v>
      </c>
      <c r="B147" s="57" t="s">
        <v>461</v>
      </c>
      <c r="C147" s="8" t="s">
        <v>462</v>
      </c>
      <c r="D147" s="9"/>
      <c r="E147" s="10"/>
    </row>
    <row r="148" spans="1:5" ht="14.25" customHeight="1" x14ac:dyDescent="0.25">
      <c r="A148" s="6" t="s">
        <v>463</v>
      </c>
      <c r="B148" s="57" t="s">
        <v>464</v>
      </c>
      <c r="C148" s="8" t="s">
        <v>465</v>
      </c>
      <c r="D148" s="9"/>
      <c r="E148" s="10"/>
    </row>
    <row r="149" spans="1:5" ht="14.25" customHeight="1" x14ac:dyDescent="0.25">
      <c r="A149" s="6" t="s">
        <v>466</v>
      </c>
      <c r="B149" s="57" t="s">
        <v>467</v>
      </c>
      <c r="C149" s="8" t="s">
        <v>468</v>
      </c>
      <c r="D149" s="9"/>
      <c r="E149" s="10"/>
    </row>
    <row r="150" spans="1:5" ht="14.25" customHeight="1" x14ac:dyDescent="0.25">
      <c r="A150" s="6" t="s">
        <v>469</v>
      </c>
      <c r="B150" s="57" t="s">
        <v>470</v>
      </c>
      <c r="C150" s="8" t="s">
        <v>471</v>
      </c>
      <c r="D150" s="9"/>
      <c r="E150" s="10"/>
    </row>
    <row r="151" spans="1:5" ht="14.25" customHeight="1" x14ac:dyDescent="0.25">
      <c r="A151" s="6" t="s">
        <v>472</v>
      </c>
      <c r="B151" s="8" t="s">
        <v>473</v>
      </c>
      <c r="C151" s="8" t="s">
        <v>474</v>
      </c>
      <c r="D151" s="9"/>
      <c r="E151" s="10"/>
    </row>
    <row r="152" spans="1:5" ht="14.25" customHeight="1" x14ac:dyDescent="0.25">
      <c r="A152" s="6" t="s">
        <v>475</v>
      </c>
      <c r="B152" s="8" t="s">
        <v>476</v>
      </c>
      <c r="C152" s="8" t="s">
        <v>477</v>
      </c>
      <c r="D152" s="9"/>
      <c r="E152" s="10"/>
    </row>
    <row r="153" spans="1:5" ht="14.25" customHeight="1" x14ac:dyDescent="0.25">
      <c r="A153" s="6" t="s">
        <v>478</v>
      </c>
      <c r="B153" s="8" t="s">
        <v>479</v>
      </c>
      <c r="C153" s="8" t="s">
        <v>480</v>
      </c>
      <c r="D153" s="9"/>
      <c r="E153" s="10"/>
    </row>
    <row r="154" spans="1:5" ht="14.25" customHeight="1" x14ac:dyDescent="0.25">
      <c r="A154" s="6" t="s">
        <v>481</v>
      </c>
      <c r="B154" s="8" t="s">
        <v>482</v>
      </c>
      <c r="C154" s="8" t="s">
        <v>483</v>
      </c>
      <c r="D154" s="9"/>
      <c r="E154" s="10"/>
    </row>
    <row r="155" spans="1:5" ht="14.25" customHeight="1" x14ac:dyDescent="0.25">
      <c r="A155" s="6" t="s">
        <v>484</v>
      </c>
      <c r="B155" s="8" t="s">
        <v>485</v>
      </c>
      <c r="C155" s="8" t="s">
        <v>486</v>
      </c>
      <c r="D155" s="9"/>
      <c r="E155" s="10"/>
    </row>
    <row r="156" spans="1:5" ht="14.25" customHeight="1" x14ac:dyDescent="0.25">
      <c r="A156" s="6" t="s">
        <v>487</v>
      </c>
      <c r="B156" s="8" t="s">
        <v>488</v>
      </c>
      <c r="C156" s="8" t="s">
        <v>489</v>
      </c>
      <c r="D156" s="9"/>
      <c r="E156" s="10"/>
    </row>
    <row r="157" spans="1:5" ht="14.25" customHeight="1" x14ac:dyDescent="0.25">
      <c r="A157" s="6" t="s">
        <v>490</v>
      </c>
      <c r="B157" s="8" t="s">
        <v>491</v>
      </c>
      <c r="C157" s="8" t="s">
        <v>492</v>
      </c>
      <c r="D157" s="9"/>
      <c r="E157" s="10"/>
    </row>
    <row r="158" spans="1:5" ht="14.25" customHeight="1" x14ac:dyDescent="0.25">
      <c r="A158" s="6" t="s">
        <v>493</v>
      </c>
      <c r="B158" s="8" t="s">
        <v>494</v>
      </c>
      <c r="C158" s="8" t="s">
        <v>495</v>
      </c>
      <c r="D158" s="9"/>
      <c r="E158" s="10"/>
    </row>
    <row r="159" spans="1:5" ht="14.25" customHeight="1" x14ac:dyDescent="0.25">
      <c r="A159" s="6" t="s">
        <v>496</v>
      </c>
      <c r="B159" s="8" t="s">
        <v>497</v>
      </c>
      <c r="C159" s="8" t="s">
        <v>498</v>
      </c>
      <c r="D159" s="9"/>
      <c r="E159" s="10"/>
    </row>
    <row r="160" spans="1:5" ht="14.25" customHeight="1" x14ac:dyDescent="0.25">
      <c r="A160" s="6" t="s">
        <v>499</v>
      </c>
      <c r="B160" s="8" t="s">
        <v>500</v>
      </c>
      <c r="C160" s="8" t="s">
        <v>501</v>
      </c>
      <c r="D160" s="9"/>
      <c r="E160" s="10"/>
    </row>
    <row r="161" spans="1:5" ht="14.25" customHeight="1" x14ac:dyDescent="0.25">
      <c r="A161" s="6" t="s">
        <v>502</v>
      </c>
      <c r="B161" s="57" t="s">
        <v>503</v>
      </c>
      <c r="C161" s="8" t="s">
        <v>504</v>
      </c>
      <c r="D161" s="9"/>
      <c r="E161" s="10"/>
    </row>
    <row r="162" spans="1:5" ht="14.25" customHeight="1" x14ac:dyDescent="0.25">
      <c r="A162" s="6" t="s">
        <v>505</v>
      </c>
      <c r="B162" s="57" t="s">
        <v>506</v>
      </c>
      <c r="C162" s="8" t="s">
        <v>507</v>
      </c>
      <c r="D162" s="9"/>
      <c r="E162" s="10"/>
    </row>
    <row r="163" spans="1:5" ht="14.25" customHeight="1" x14ac:dyDescent="0.25">
      <c r="A163" s="6" t="s">
        <v>508</v>
      </c>
      <c r="B163" s="8" t="s">
        <v>509</v>
      </c>
      <c r="C163" s="8" t="s">
        <v>510</v>
      </c>
      <c r="D163" s="9"/>
      <c r="E163" s="10"/>
    </row>
    <row r="164" spans="1:5" ht="14.25" customHeight="1" x14ac:dyDescent="0.25">
      <c r="A164" s="6" t="s">
        <v>511</v>
      </c>
      <c r="B164" s="8" t="s">
        <v>512</v>
      </c>
      <c r="C164" s="8" t="s">
        <v>513</v>
      </c>
      <c r="D164" s="9">
        <v>2000</v>
      </c>
      <c r="E164" s="10"/>
    </row>
    <row r="165" spans="1:5" ht="14.25" customHeight="1" x14ac:dyDescent="0.25">
      <c r="A165" s="6" t="s">
        <v>514</v>
      </c>
      <c r="B165" s="8" t="s">
        <v>199</v>
      </c>
      <c r="C165" s="8" t="s">
        <v>515</v>
      </c>
      <c r="D165" s="9">
        <v>2000</v>
      </c>
      <c r="E165" s="10"/>
    </row>
    <row r="166" spans="1:5" ht="14.25" customHeight="1" x14ac:dyDescent="0.25">
      <c r="A166" s="6" t="s">
        <v>516</v>
      </c>
      <c r="B166" s="8" t="s">
        <v>517</v>
      </c>
      <c r="C166" s="8" t="s">
        <v>518</v>
      </c>
      <c r="D166" s="9">
        <v>2000</v>
      </c>
      <c r="E166" s="10"/>
    </row>
    <row r="167" spans="1:5" ht="14.25" customHeight="1" x14ac:dyDescent="0.25">
      <c r="A167" s="6" t="s">
        <v>519</v>
      </c>
      <c r="B167" s="8" t="s">
        <v>218</v>
      </c>
      <c r="C167" s="8" t="s">
        <v>520</v>
      </c>
      <c r="D167" s="9">
        <v>2000</v>
      </c>
      <c r="E167" s="10"/>
    </row>
    <row r="168" spans="1:5" ht="14.25" customHeight="1" x14ac:dyDescent="0.25">
      <c r="A168" s="6" t="s">
        <v>521</v>
      </c>
      <c r="B168" s="8" t="s">
        <v>522</v>
      </c>
      <c r="C168" s="8" t="s">
        <v>523</v>
      </c>
      <c r="D168" s="9"/>
      <c r="E168" s="10"/>
    </row>
    <row r="169" spans="1:5" ht="14.25" customHeight="1" x14ac:dyDescent="0.25">
      <c r="A169" s="6" t="s">
        <v>524</v>
      </c>
      <c r="B169" s="8" t="s">
        <v>525</v>
      </c>
      <c r="C169" s="8" t="s">
        <v>526</v>
      </c>
      <c r="D169" s="9"/>
      <c r="E169" s="10"/>
    </row>
    <row r="170" spans="1:5" ht="14.25" customHeight="1" x14ac:dyDescent="0.25">
      <c r="A170" s="6" t="s">
        <v>527</v>
      </c>
      <c r="B170" s="8" t="s">
        <v>528</v>
      </c>
      <c r="C170" s="8" t="s">
        <v>529</v>
      </c>
      <c r="D170" s="9"/>
      <c r="E170" s="10"/>
    </row>
    <row r="171" spans="1:5" ht="14.25" customHeight="1" x14ac:dyDescent="0.25">
      <c r="A171" s="6" t="s">
        <v>530</v>
      </c>
      <c r="B171" s="8" t="s">
        <v>531</v>
      </c>
      <c r="C171" s="8" t="s">
        <v>532</v>
      </c>
      <c r="D171" s="9"/>
      <c r="E171" s="10"/>
    </row>
    <row r="172" spans="1:5" ht="14.25" customHeight="1" x14ac:dyDescent="0.25">
      <c r="A172" s="6" t="s">
        <v>533</v>
      </c>
      <c r="B172" s="8" t="s">
        <v>534</v>
      </c>
      <c r="C172" s="8" t="s">
        <v>535</v>
      </c>
      <c r="D172" s="9">
        <v>50</v>
      </c>
      <c r="E172" s="10"/>
    </row>
    <row r="173" spans="1:5" ht="15.75" customHeight="1" x14ac:dyDescent="0.25">
      <c r="A173" s="6" t="s">
        <v>536</v>
      </c>
      <c r="B173" s="8" t="s">
        <v>299</v>
      </c>
      <c r="C173" s="8" t="s">
        <v>537</v>
      </c>
      <c r="D173" s="8">
        <v>600</v>
      </c>
      <c r="E173" s="10"/>
    </row>
    <row r="174" spans="1:5" ht="15.75" customHeight="1" x14ac:dyDescent="0.25">
      <c r="A174" s="6" t="s">
        <v>538</v>
      </c>
      <c r="B174" s="8" t="s">
        <v>321</v>
      </c>
      <c r="C174" s="8" t="s">
        <v>539</v>
      </c>
      <c r="D174" s="8">
        <v>600</v>
      </c>
      <c r="E174" s="10"/>
    </row>
    <row r="175" spans="1:5" ht="15.75" customHeight="1" x14ac:dyDescent="0.25">
      <c r="A175" s="6" t="s">
        <v>540</v>
      </c>
      <c r="B175" s="8" t="s">
        <v>541</v>
      </c>
      <c r="C175" s="8" t="s">
        <v>542</v>
      </c>
      <c r="D175" s="9">
        <v>600</v>
      </c>
      <c r="E175" s="10"/>
    </row>
    <row r="176" spans="1:5" ht="15.75" customHeight="1" x14ac:dyDescent="0.25">
      <c r="A176" s="6" t="s">
        <v>543</v>
      </c>
      <c r="B176" s="8" t="s">
        <v>544</v>
      </c>
      <c r="C176" s="8" t="s">
        <v>545</v>
      </c>
      <c r="D176" s="9">
        <v>150</v>
      </c>
      <c r="E176" s="10"/>
    </row>
    <row r="177" spans="1:5" ht="15.75" customHeight="1" x14ac:dyDescent="0.25">
      <c r="A177" s="6" t="s">
        <v>546</v>
      </c>
      <c r="B177" s="8" t="s">
        <v>383</v>
      </c>
      <c r="C177" s="8" t="s">
        <v>547</v>
      </c>
      <c r="D177" s="8">
        <v>600</v>
      </c>
      <c r="E177" s="10"/>
    </row>
    <row r="178" spans="1:5" ht="15.75" customHeight="1" x14ac:dyDescent="0.25">
      <c r="A178" s="6" t="s">
        <v>548</v>
      </c>
      <c r="B178" s="8" t="s">
        <v>549</v>
      </c>
      <c r="C178" s="8" t="s">
        <v>550</v>
      </c>
      <c r="D178" s="8">
        <v>600</v>
      </c>
      <c r="E178" s="10"/>
    </row>
    <row r="179" spans="1:5" ht="15.75" customHeight="1" x14ac:dyDescent="0.25">
      <c r="A179" s="6" t="s">
        <v>551</v>
      </c>
      <c r="B179" s="8" t="s">
        <v>402</v>
      </c>
      <c r="C179" s="8" t="s">
        <v>552</v>
      </c>
      <c r="D179" s="8">
        <v>600</v>
      </c>
      <c r="E179" s="10"/>
    </row>
    <row r="180" spans="1:5" ht="15.75" customHeight="1" x14ac:dyDescent="0.25">
      <c r="A180" s="6" t="s">
        <v>553</v>
      </c>
      <c r="B180" s="8" t="s">
        <v>554</v>
      </c>
      <c r="C180" s="8" t="s">
        <v>555</v>
      </c>
      <c r="D180" s="8">
        <v>600</v>
      </c>
      <c r="E180" s="10"/>
    </row>
    <row r="181" spans="1:5" ht="15.75" customHeight="1" x14ac:dyDescent="0.25">
      <c r="A181" s="6" t="s">
        <v>556</v>
      </c>
      <c r="B181" s="8" t="s">
        <v>557</v>
      </c>
      <c r="C181" s="8" t="s">
        <v>558</v>
      </c>
      <c r="D181" s="9">
        <v>2000</v>
      </c>
      <c r="E181" s="10"/>
    </row>
    <row r="182" spans="1:5" ht="15.75" customHeight="1" x14ac:dyDescent="0.25">
      <c r="A182" s="6" t="s">
        <v>559</v>
      </c>
      <c r="B182" s="8" t="s">
        <v>560</v>
      </c>
      <c r="C182" s="8" t="s">
        <v>561</v>
      </c>
      <c r="D182" s="9">
        <v>2000</v>
      </c>
      <c r="E182" s="10"/>
    </row>
    <row r="183" spans="1:5" ht="15.75" customHeight="1" x14ac:dyDescent="0.25">
      <c r="A183" s="6" t="s">
        <v>562</v>
      </c>
      <c r="B183" s="8" t="s">
        <v>563</v>
      </c>
      <c r="C183" s="8" t="s">
        <v>564</v>
      </c>
      <c r="D183" s="9">
        <v>1200</v>
      </c>
      <c r="E183" s="10"/>
    </row>
    <row r="184" spans="1:5" ht="15.75" customHeight="1" x14ac:dyDescent="0.25">
      <c r="A184" s="6" t="s">
        <v>565</v>
      </c>
      <c r="B184" s="8" t="s">
        <v>566</v>
      </c>
      <c r="C184" s="8" t="s">
        <v>567</v>
      </c>
      <c r="D184" s="8">
        <v>600</v>
      </c>
      <c r="E184" s="10"/>
    </row>
    <row r="185" spans="1:5" ht="15.75" customHeight="1" x14ac:dyDescent="0.25">
      <c r="A185" s="6" t="s">
        <v>568</v>
      </c>
      <c r="B185" s="8" t="s">
        <v>569</v>
      </c>
      <c r="C185" s="8" t="s">
        <v>570</v>
      </c>
      <c r="D185" s="9">
        <v>2000</v>
      </c>
      <c r="E185" s="10"/>
    </row>
    <row r="186" spans="1:5" ht="15.75" customHeight="1" x14ac:dyDescent="0.25">
      <c r="A186" s="6" t="s">
        <v>571</v>
      </c>
      <c r="B186" s="8"/>
      <c r="C186" s="8"/>
      <c r="D186" s="8"/>
      <c r="E186" s="10"/>
    </row>
    <row r="187" spans="1:5" ht="15.75" customHeight="1" x14ac:dyDescent="0.25">
      <c r="A187" s="6" t="s">
        <v>572</v>
      </c>
      <c r="B187" s="8"/>
      <c r="C187" s="8"/>
      <c r="D187" s="8"/>
      <c r="E187" s="10"/>
    </row>
    <row r="188" spans="1:5" ht="15.75" customHeight="1" x14ac:dyDescent="0.25">
      <c r="A188" s="6" t="s">
        <v>573</v>
      </c>
      <c r="B188" s="8"/>
      <c r="C188" s="8"/>
      <c r="D188" s="8"/>
      <c r="E188" s="10"/>
    </row>
    <row r="189" spans="1:5" ht="15.75" customHeight="1" x14ac:dyDescent="0.25">
      <c r="A189" s="6" t="s">
        <v>574</v>
      </c>
      <c r="B189" s="8"/>
      <c r="C189" s="8"/>
      <c r="D189" s="8"/>
      <c r="E189" s="10"/>
    </row>
    <row r="190" spans="1:5" ht="15.75" customHeight="1" x14ac:dyDescent="0.25">
      <c r="A190" s="6" t="s">
        <v>575</v>
      </c>
      <c r="B190" s="8"/>
      <c r="C190" s="8"/>
      <c r="D190" s="8"/>
      <c r="E190" s="10"/>
    </row>
    <row r="191" spans="1:5" ht="15.75" customHeight="1" x14ac:dyDescent="0.25">
      <c r="A191" s="59" t="s">
        <v>576</v>
      </c>
      <c r="B191" s="8"/>
      <c r="C191" s="8"/>
      <c r="D191" s="8"/>
      <c r="E191" s="10"/>
    </row>
    <row r="192" spans="1:5" ht="15.75" customHeight="1" x14ac:dyDescent="0.25">
      <c r="A192" s="59" t="s">
        <v>577</v>
      </c>
      <c r="B192" s="8"/>
      <c r="C192" s="8"/>
      <c r="D192" s="8"/>
      <c r="E192" s="10"/>
    </row>
    <row r="193" spans="1:5" ht="15.75" customHeight="1" x14ac:dyDescent="0.25">
      <c r="A193" s="59" t="s">
        <v>578</v>
      </c>
      <c r="B193" s="8"/>
      <c r="C193" s="8"/>
      <c r="D193" s="8"/>
      <c r="E193" s="10"/>
    </row>
    <row r="194" spans="1:5" ht="15.75" customHeight="1" x14ac:dyDescent="0.25">
      <c r="A194" s="59" t="s">
        <v>579</v>
      </c>
      <c r="B194" s="8"/>
      <c r="C194" s="8"/>
      <c r="D194" s="8"/>
      <c r="E194" s="10"/>
    </row>
    <row r="195" spans="1:5" ht="15.75" customHeight="1" x14ac:dyDescent="0.25">
      <c r="A195" s="59" t="s">
        <v>580</v>
      </c>
      <c r="B195" s="60"/>
      <c r="C195" s="60"/>
      <c r="D195" s="60"/>
    </row>
    <row r="196" spans="1:5" ht="15.75" customHeight="1" x14ac:dyDescent="0.25">
      <c r="A196" s="59" t="s">
        <v>581</v>
      </c>
      <c r="B196" s="60"/>
      <c r="C196" s="60"/>
      <c r="D196" s="60"/>
    </row>
    <row r="197" spans="1:5" ht="15.75" customHeight="1" x14ac:dyDescent="0.25">
      <c r="A197" s="59" t="s">
        <v>582</v>
      </c>
      <c r="B197" s="60"/>
      <c r="C197" s="60"/>
      <c r="D197" s="60"/>
    </row>
    <row r="198" spans="1:5" ht="15.75" customHeight="1" x14ac:dyDescent="0.25">
      <c r="A198" s="59" t="s">
        <v>583</v>
      </c>
      <c r="B198" s="60"/>
      <c r="C198" s="60"/>
      <c r="D198" s="60"/>
    </row>
    <row r="199" spans="1:5" ht="15.75" customHeight="1" x14ac:dyDescent="0.25">
      <c r="A199" s="59" t="s">
        <v>584</v>
      </c>
      <c r="B199" s="60"/>
      <c r="C199" s="60"/>
      <c r="D199" s="60"/>
    </row>
    <row r="200" spans="1:5" ht="15.75" customHeight="1" x14ac:dyDescent="0.25">
      <c r="A200" s="59" t="s">
        <v>585</v>
      </c>
      <c r="B200" s="60"/>
      <c r="C200" s="60"/>
      <c r="D200" s="60"/>
    </row>
    <row r="201" spans="1:5" ht="15.75" customHeight="1" x14ac:dyDescent="0.25"/>
    <row r="202" spans="1:5" ht="15.75" customHeight="1" x14ac:dyDescent="0.25"/>
    <row r="203" spans="1:5" ht="15.75" customHeight="1" x14ac:dyDescent="0.25"/>
    <row r="204" spans="1:5" ht="15.75" customHeight="1" x14ac:dyDescent="0.25"/>
    <row r="205" spans="1:5" ht="15.75" customHeight="1" x14ac:dyDescent="0.25"/>
    <row r="206" spans="1:5" ht="15.75" customHeight="1" x14ac:dyDescent="0.25"/>
    <row r="207" spans="1:5" ht="15.75" customHeight="1" x14ac:dyDescent="0.25"/>
    <row r="208" spans="1:5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EFE-RCY</vt:lpstr>
      <vt:lpstr>DO NOT EDIT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 Portes</dc:creator>
  <cp:lastModifiedBy>Rea Portes</cp:lastModifiedBy>
  <dcterms:created xsi:type="dcterms:W3CDTF">2025-02-13T02:46:39Z</dcterms:created>
  <dcterms:modified xsi:type="dcterms:W3CDTF">2026-09-14T01:25:53Z</dcterms:modified>
</cp:coreProperties>
</file>